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Board Exam 11(2079)\"/>
    </mc:Choice>
  </mc:AlternateContent>
  <xr:revisionPtr revIDLastSave="0" documentId="13_ncr:1_{13021F9A-C12A-441B-86A0-7B4040C3BA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I Board Management" sheetId="8" r:id="rId1"/>
    <sheet name="Sheet1" sheetId="11" r:id="rId2"/>
    <sheet name="managmentraww" sheetId="10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8" l="1" a="1"/>
  <c r="S2" i="8" s="1"/>
  <c r="AI2" i="8" a="1"/>
  <c r="AI2" i="8" s="1"/>
  <c r="AI3" i="8" a="1"/>
  <c r="AI3" i="8"/>
  <c r="AI4" i="8" a="1"/>
  <c r="AI4" i="8" s="1"/>
  <c r="AI5" i="8" a="1"/>
  <c r="AI5" i="8"/>
  <c r="AI6" i="8" a="1"/>
  <c r="AI6" i="8" s="1"/>
  <c r="AI7" i="8" a="1"/>
  <c r="AI7" i="8"/>
  <c r="AI8" i="8" a="1"/>
  <c r="AI8" i="8" s="1"/>
  <c r="AI9" i="8" a="1"/>
  <c r="AI9" i="8"/>
  <c r="AI10" i="8" a="1"/>
  <c r="AI10" i="8" s="1"/>
  <c r="AI11" i="8" a="1"/>
  <c r="AI11" i="8"/>
  <c r="AI12" i="8" a="1"/>
  <c r="AI12" i="8" s="1"/>
  <c r="AI13" i="8" a="1"/>
  <c r="AI13" i="8" s="1"/>
  <c r="AI14" i="8" a="1"/>
  <c r="AI14" i="8" s="1"/>
  <c r="AI15" i="8" a="1"/>
  <c r="AI15" i="8"/>
  <c r="AI16" i="8" a="1"/>
  <c r="AI16" i="8" s="1"/>
  <c r="AI17" i="8" a="1"/>
  <c r="AI17" i="8"/>
  <c r="AI18" i="8" a="1"/>
  <c r="AI18" i="8" s="1"/>
  <c r="AI19" i="8" a="1"/>
  <c r="AI19" i="8"/>
  <c r="AI20" i="8" a="1"/>
  <c r="AI20" i="8" s="1"/>
  <c r="AI21" i="8" a="1"/>
  <c r="AI21" i="8"/>
  <c r="AI22" i="8" a="1"/>
  <c r="AI22" i="8" s="1"/>
  <c r="AI23" i="8" a="1"/>
  <c r="AI23" i="8"/>
  <c r="AI24" i="8" a="1"/>
  <c r="AI24" i="8" s="1"/>
  <c r="AI25" i="8" a="1"/>
  <c r="AI25" i="8"/>
  <c r="AI26" i="8" a="1"/>
  <c r="AI26" i="8" s="1"/>
  <c r="AI27" i="8" a="1"/>
  <c r="AI27" i="8"/>
  <c r="AI28" i="8" a="1"/>
  <c r="AI28" i="8" s="1"/>
  <c r="AI29" i="8" a="1"/>
  <c r="AI29" i="8"/>
  <c r="AI30" i="8" a="1"/>
  <c r="AI30" i="8" s="1"/>
  <c r="AI31" i="8" a="1"/>
  <c r="AI31" i="8"/>
  <c r="AI32" i="8" a="1"/>
  <c r="AI32" i="8" s="1"/>
  <c r="AI33" i="8" a="1"/>
  <c r="AI33" i="8"/>
  <c r="AI34" i="8" a="1"/>
  <c r="AI34" i="8" s="1"/>
  <c r="AI35" i="8" a="1"/>
  <c r="AI35" i="8"/>
  <c r="AI36" i="8" a="1"/>
  <c r="AI36" i="8" s="1"/>
  <c r="AI37" i="8" a="1"/>
  <c r="AI37" i="8"/>
  <c r="F2" i="11" l="1"/>
  <c r="G2" i="11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G1" i="11"/>
  <c r="F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1" i="11"/>
  <c r="AY3" i="8" a="1"/>
  <c r="AY3" i="8" s="1"/>
  <c r="AZ3" i="8" s="1" a="1"/>
  <c r="AZ3" i="8" s="1"/>
  <c r="AY4" i="8" a="1"/>
  <c r="AY4" i="8" s="1"/>
  <c r="AZ4" i="8" s="1" a="1"/>
  <c r="AZ4" i="8" s="1"/>
  <c r="AY5" i="8" a="1"/>
  <c r="AY5" i="8" s="1"/>
  <c r="AZ5" i="8" s="1" a="1"/>
  <c r="AZ5" i="8" s="1"/>
  <c r="AY6" i="8" a="1"/>
  <c r="AY6" i="8" s="1"/>
  <c r="AZ6" i="8" s="1" a="1"/>
  <c r="AZ6" i="8" s="1"/>
  <c r="AY7" i="8" a="1"/>
  <c r="AY7" i="8" s="1"/>
  <c r="AZ7" i="8" s="1" a="1"/>
  <c r="AZ7" i="8" s="1"/>
  <c r="AY8" i="8" a="1"/>
  <c r="AY8" i="8" s="1"/>
  <c r="AZ8" i="8" s="1" a="1"/>
  <c r="AZ8" i="8" s="1"/>
  <c r="AY9" i="8" a="1"/>
  <c r="AY9" i="8" s="1"/>
  <c r="AZ9" i="8" s="1" a="1"/>
  <c r="AZ9" i="8" s="1"/>
  <c r="AY10" i="8" a="1"/>
  <c r="AY10" i="8" s="1"/>
  <c r="AZ10" i="8" s="1" a="1"/>
  <c r="AZ10" i="8" s="1"/>
  <c r="AY11" i="8" a="1"/>
  <c r="AY11" i="8" s="1"/>
  <c r="AZ11" i="8" s="1" a="1"/>
  <c r="AZ11" i="8" s="1"/>
  <c r="AY12" i="8" a="1"/>
  <c r="AY12" i="8" s="1"/>
  <c r="AZ12" i="8" s="1" a="1"/>
  <c r="AZ12" i="8" s="1"/>
  <c r="AY13" i="8" a="1"/>
  <c r="AY13" i="8" s="1"/>
  <c r="AZ13" i="8" s="1" a="1"/>
  <c r="AZ13" i="8" s="1"/>
  <c r="AY14" i="8" a="1"/>
  <c r="AY14" i="8" s="1"/>
  <c r="AZ14" i="8" s="1" a="1"/>
  <c r="AZ14" i="8" s="1"/>
  <c r="AY15" i="8" a="1"/>
  <c r="AY15" i="8" s="1"/>
  <c r="AZ15" i="8" s="1" a="1"/>
  <c r="AZ15" i="8" s="1"/>
  <c r="AY16" i="8" a="1"/>
  <c r="AY16" i="8" s="1"/>
  <c r="AZ16" i="8" s="1" a="1"/>
  <c r="AZ16" i="8" s="1"/>
  <c r="AY17" i="8" a="1"/>
  <c r="AY17" i="8" s="1"/>
  <c r="AZ17" i="8" s="1" a="1"/>
  <c r="AZ17" i="8" s="1"/>
  <c r="AY18" i="8" a="1"/>
  <c r="AY18" i="8" s="1"/>
  <c r="AZ18" i="8" s="1" a="1"/>
  <c r="AZ18" i="8" s="1"/>
  <c r="AY19" i="8" a="1"/>
  <c r="AY19" i="8" s="1"/>
  <c r="AZ19" i="8" s="1" a="1"/>
  <c r="AZ19" i="8" s="1"/>
  <c r="AY20" i="8" a="1"/>
  <c r="AY20" i="8" s="1"/>
  <c r="AZ20" i="8" s="1" a="1"/>
  <c r="AZ20" i="8" s="1"/>
  <c r="AY21" i="8" a="1"/>
  <c r="AY21" i="8" s="1"/>
  <c r="AZ21" i="8" s="1" a="1"/>
  <c r="AZ21" i="8" s="1"/>
  <c r="AY22" i="8" a="1"/>
  <c r="AY22" i="8" s="1"/>
  <c r="AZ22" i="8" s="1" a="1"/>
  <c r="AZ22" i="8" s="1"/>
  <c r="AY23" i="8" a="1"/>
  <c r="AY23" i="8" s="1"/>
  <c r="AZ23" i="8" s="1" a="1"/>
  <c r="AZ23" i="8" s="1"/>
  <c r="AY24" i="8" a="1"/>
  <c r="AY24" i="8" s="1"/>
  <c r="AZ24" i="8" s="1" a="1"/>
  <c r="AZ24" i="8" s="1"/>
  <c r="AY25" i="8" a="1"/>
  <c r="AY25" i="8" s="1"/>
  <c r="AZ25" i="8" s="1" a="1"/>
  <c r="AZ25" i="8" s="1"/>
  <c r="AY26" i="8" a="1"/>
  <c r="AY26" i="8" s="1"/>
  <c r="AZ26" i="8" s="1" a="1"/>
  <c r="AZ26" i="8" s="1"/>
  <c r="AY27" i="8" a="1"/>
  <c r="AY27" i="8" s="1"/>
  <c r="AZ27" i="8" s="1" a="1"/>
  <c r="AZ27" i="8" s="1"/>
  <c r="AY28" i="8" a="1"/>
  <c r="AY28" i="8" s="1"/>
  <c r="AZ28" i="8" s="1" a="1"/>
  <c r="AZ28" i="8" s="1"/>
  <c r="AY29" i="8" a="1"/>
  <c r="AY29" i="8" s="1"/>
  <c r="AZ29" i="8" s="1" a="1"/>
  <c r="AZ29" i="8" s="1"/>
  <c r="AY30" i="8" a="1"/>
  <c r="AY30" i="8" s="1"/>
  <c r="AZ30" i="8" s="1" a="1"/>
  <c r="AZ30" i="8" s="1"/>
  <c r="AY31" i="8" a="1"/>
  <c r="AY31" i="8" s="1"/>
  <c r="AZ31" i="8" s="1" a="1"/>
  <c r="AZ31" i="8" s="1"/>
  <c r="AY32" i="8" a="1"/>
  <c r="AY32" i="8" s="1"/>
  <c r="AY33" i="8" a="1"/>
  <c r="AY33" i="8" s="1"/>
  <c r="AY34" i="8" a="1"/>
  <c r="AY34" i="8" s="1"/>
  <c r="AZ34" i="8" s="1" a="1"/>
  <c r="AZ34" i="8" s="1"/>
  <c r="AY35" i="8" a="1"/>
  <c r="AY35" i="8" s="1"/>
  <c r="AZ35" i="8" s="1" a="1"/>
  <c r="AZ35" i="8" s="1"/>
  <c r="AY36" i="8" a="1"/>
  <c r="AY36" i="8" s="1"/>
  <c r="AZ36" i="8" s="1" a="1"/>
  <c r="AZ36" i="8" s="1"/>
  <c r="BA36" i="8" s="1" a="1"/>
  <c r="BA36" i="8" s="1"/>
  <c r="AY37" i="8" a="1"/>
  <c r="AY37" i="8" s="1"/>
  <c r="AZ37" i="8" s="1" a="1"/>
  <c r="AZ37" i="8" s="1"/>
  <c r="AY2" i="8" a="1"/>
  <c r="AY2" i="8" s="1"/>
  <c r="AZ2" i="8" s="1" a="1"/>
  <c r="AZ2" i="8" s="1"/>
  <c r="AW4" i="8" a="1"/>
  <c r="AW4" i="8" s="1"/>
  <c r="AW5" i="8" a="1"/>
  <c r="AW5" i="8" s="1"/>
  <c r="AW6" i="8" a="1"/>
  <c r="AW6" i="8" s="1"/>
  <c r="AW7" i="8" a="1"/>
  <c r="AW7" i="8" s="1"/>
  <c r="AW8" i="8" a="1"/>
  <c r="AW8" i="8" s="1"/>
  <c r="AW9" i="8" a="1"/>
  <c r="AW9" i="8" s="1"/>
  <c r="AW10" i="8" a="1"/>
  <c r="AW10" i="8" s="1"/>
  <c r="AW11" i="8" a="1"/>
  <c r="AW11" i="8" s="1"/>
  <c r="AW12" i="8" a="1"/>
  <c r="AW12" i="8" s="1"/>
  <c r="AW13" i="8" a="1"/>
  <c r="AW13" i="8" s="1"/>
  <c r="AW14" i="8" a="1"/>
  <c r="AW14" i="8" s="1"/>
  <c r="AW15" i="8" a="1"/>
  <c r="AW15" i="8" s="1"/>
  <c r="AW16" i="8" a="1"/>
  <c r="AW16" i="8" s="1"/>
  <c r="AW17" i="8" a="1"/>
  <c r="AW17" i="8" s="1"/>
  <c r="AW18" i="8" a="1"/>
  <c r="AW18" i="8" s="1"/>
  <c r="AW19" i="8" a="1"/>
  <c r="AW19" i="8" s="1"/>
  <c r="AW20" i="8" a="1"/>
  <c r="AW20" i="8" s="1"/>
  <c r="BB20" i="8" s="1"/>
  <c r="AW21" i="8" a="1"/>
  <c r="AW21" i="8" s="1"/>
  <c r="AW22" i="8" a="1"/>
  <c r="AW22" i="8" s="1"/>
  <c r="AW23" i="8" a="1"/>
  <c r="AW23" i="8" s="1"/>
  <c r="AW24" i="8" a="1"/>
  <c r="AW24" i="8" s="1"/>
  <c r="BB24" i="8" s="1"/>
  <c r="AW25" i="8" a="1"/>
  <c r="AW25" i="8" s="1"/>
  <c r="AW26" i="8" a="1"/>
  <c r="AW26" i="8" s="1"/>
  <c r="AW27" i="8" a="1"/>
  <c r="AW27" i="8" s="1"/>
  <c r="AW28" i="8" a="1"/>
  <c r="AW28" i="8" s="1"/>
  <c r="BB28" i="8" s="1"/>
  <c r="AW29" i="8" a="1"/>
  <c r="AW29" i="8" s="1"/>
  <c r="AW30" i="8" a="1"/>
  <c r="AW30" i="8" s="1"/>
  <c r="AW31" i="8" a="1"/>
  <c r="AW31" i="8" s="1"/>
  <c r="AW32" i="8" a="1"/>
  <c r="AW32" i="8" s="1"/>
  <c r="AW33" i="8" a="1"/>
  <c r="AW33" i="8" s="1"/>
  <c r="AW34" i="8" a="1"/>
  <c r="AW34" i="8" s="1"/>
  <c r="AW35" i="8" a="1"/>
  <c r="AW35" i="8" s="1"/>
  <c r="AW36" i="8" a="1"/>
  <c r="AW36" i="8" s="1"/>
  <c r="BB36" i="8" s="1"/>
  <c r="AW37" i="8" a="1"/>
  <c r="AW37" i="8" s="1"/>
  <c r="AW3" i="8" a="1"/>
  <c r="AW3" i="8" s="1"/>
  <c r="AW2" i="8" a="1"/>
  <c r="AW2" i="8" s="1"/>
  <c r="BB2" i="8" s="1"/>
  <c r="AO31" i="8" a="1"/>
  <c r="AO31" i="8" s="1"/>
  <c r="AQ31" i="8" a="1"/>
  <c r="AQ31" i="8" s="1"/>
  <c r="AR31" i="8" s="1" a="1"/>
  <c r="AR31" i="8" s="1"/>
  <c r="AS31" i="8" s="1" a="1"/>
  <c r="AS31" i="8" s="1"/>
  <c r="AO32" i="8" a="1"/>
  <c r="AO32" i="8" s="1"/>
  <c r="AP32" i="8" s="1" a="1"/>
  <c r="AP32" i="8" s="1"/>
  <c r="AQ32" i="8" a="1"/>
  <c r="AQ32" i="8" s="1"/>
  <c r="AR32" i="8" s="1" a="1"/>
  <c r="AR32" i="8" s="1"/>
  <c r="AO33" i="8" a="1"/>
  <c r="AO33" i="8" s="1"/>
  <c r="AQ33" i="8" a="1"/>
  <c r="AQ33" i="8" s="1"/>
  <c r="AR33" i="8" s="1" a="1"/>
  <c r="AR33" i="8" s="1"/>
  <c r="AS33" i="8" s="1" a="1"/>
  <c r="AS33" i="8" s="1"/>
  <c r="AO34" i="8" a="1"/>
  <c r="AO34" i="8" s="1"/>
  <c r="AQ34" i="8" a="1"/>
  <c r="AQ34" i="8" s="1"/>
  <c r="AR34" i="8" s="1" a="1"/>
  <c r="AR34" i="8" s="1"/>
  <c r="AS34" i="8" s="1" a="1"/>
  <c r="AS34" i="8" s="1"/>
  <c r="AO35" i="8" a="1"/>
  <c r="AO35" i="8" s="1"/>
  <c r="AQ35" i="8" a="1"/>
  <c r="AQ35" i="8" s="1"/>
  <c r="AR35" i="8" s="1" a="1"/>
  <c r="AR35" i="8" s="1"/>
  <c r="AS35" i="8" s="1" a="1"/>
  <c r="AS35" i="8" s="1"/>
  <c r="AO36" i="8" a="1"/>
  <c r="AO36" i="8" s="1"/>
  <c r="AP36" i="8" s="1" a="1"/>
  <c r="AP36" i="8" s="1"/>
  <c r="AQ36" i="8" a="1"/>
  <c r="AQ36" i="8" s="1"/>
  <c r="AR36" i="8" s="1" a="1"/>
  <c r="AR36" i="8" s="1"/>
  <c r="AS36" i="8" s="1" a="1"/>
  <c r="AS36" i="8" s="1"/>
  <c r="AO37" i="8" a="1"/>
  <c r="AO37" i="8" s="1"/>
  <c r="AQ37" i="8" a="1"/>
  <c r="AQ37" i="8" s="1"/>
  <c r="AR37" i="8" s="1" a="1"/>
  <c r="AR37" i="8" s="1"/>
  <c r="AS37" i="8" s="1" a="1"/>
  <c r="AS37" i="8" s="1"/>
  <c r="AG31" i="8" a="1"/>
  <c r="AG31" i="8" s="1"/>
  <c r="AJ31" i="8" a="1"/>
  <c r="AJ31" i="8" s="1"/>
  <c r="AK31" i="8" s="1" a="1"/>
  <c r="AK31" i="8" s="1"/>
  <c r="AG32" i="8" a="1"/>
  <c r="AG32" i="8" s="1"/>
  <c r="AH32" i="8" s="1" a="1"/>
  <c r="AH32" i="8" s="1"/>
  <c r="AJ32" i="8" a="1"/>
  <c r="AJ32" i="8" s="1"/>
  <c r="AG33" i="8" a="1"/>
  <c r="AG33" i="8" s="1"/>
  <c r="AJ33" i="8" a="1"/>
  <c r="AJ33" i="8" s="1"/>
  <c r="AK33" i="8" s="1" a="1"/>
  <c r="AK33" i="8" s="1"/>
  <c r="AG34" i="8" a="1"/>
  <c r="AG34" i="8" s="1"/>
  <c r="AJ34" i="8" a="1"/>
  <c r="AJ34" i="8" s="1"/>
  <c r="AK34" i="8" s="1" a="1"/>
  <c r="AK34" i="8" s="1"/>
  <c r="AG35" i="8" a="1"/>
  <c r="AG35" i="8" s="1"/>
  <c r="AJ35" i="8" a="1"/>
  <c r="AJ35" i="8" s="1"/>
  <c r="AK35" i="8" s="1" a="1"/>
  <c r="AK35" i="8" s="1"/>
  <c r="AG36" i="8" a="1"/>
  <c r="AG36" i="8" s="1"/>
  <c r="AH36" i="8" s="1" a="1"/>
  <c r="AH36" i="8" s="1"/>
  <c r="AJ36" i="8" a="1"/>
  <c r="AJ36" i="8" s="1"/>
  <c r="AK36" i="8" s="1" a="1"/>
  <c r="AK36" i="8" s="1"/>
  <c r="AG37" i="8" a="1"/>
  <c r="AG37" i="8"/>
  <c r="AJ37" i="8" a="1"/>
  <c r="AJ37" i="8" s="1"/>
  <c r="AK37" i="8" s="1" a="1"/>
  <c r="AK37" i="8" s="1"/>
  <c r="Y31" i="8" a="1"/>
  <c r="Y31" i="8" s="1"/>
  <c r="AA31" i="8" a="1"/>
  <c r="AA31" i="8" s="1"/>
  <c r="AB31" i="8" s="1" a="1"/>
  <c r="AB31" i="8" s="1"/>
  <c r="AC31" i="8" s="1" a="1"/>
  <c r="AC31" i="8" s="1"/>
  <c r="Y32" i="8" a="1"/>
  <c r="Y32" i="8" s="1"/>
  <c r="Z32" i="8" s="1" a="1"/>
  <c r="Z32" i="8" s="1"/>
  <c r="AA32" i="8" a="1"/>
  <c r="AA32" i="8" s="1"/>
  <c r="AB32" i="8" s="1" a="1"/>
  <c r="AB32" i="8" s="1"/>
  <c r="Y33" i="8" a="1"/>
  <c r="Y33" i="8" s="1"/>
  <c r="AA33" i="8" a="1"/>
  <c r="AA33" i="8" s="1"/>
  <c r="AB33" i="8" s="1" a="1"/>
  <c r="AB33" i="8" s="1"/>
  <c r="AC33" i="8" s="1" a="1"/>
  <c r="AC33" i="8" s="1"/>
  <c r="Y34" i="8" a="1"/>
  <c r="Y34" i="8" s="1"/>
  <c r="AA34" i="8" a="1"/>
  <c r="AA34" i="8" s="1"/>
  <c r="AB34" i="8" s="1" a="1"/>
  <c r="AB34" i="8" s="1"/>
  <c r="AC34" i="8" s="1" a="1"/>
  <c r="AC34" i="8" s="1"/>
  <c r="Y35" i="8" a="1"/>
  <c r="Y35" i="8" s="1"/>
  <c r="AA35" i="8" a="1"/>
  <c r="AA35" i="8" s="1"/>
  <c r="AB35" i="8" s="1" a="1"/>
  <c r="AB35" i="8" s="1"/>
  <c r="AC35" i="8" s="1" a="1"/>
  <c r="AC35" i="8" s="1"/>
  <c r="Y36" i="8" a="1"/>
  <c r="Y36" i="8" s="1"/>
  <c r="Z36" i="8" s="1" a="1"/>
  <c r="Z36" i="8" s="1"/>
  <c r="AA36" i="8" a="1"/>
  <c r="AA36" i="8" s="1"/>
  <c r="AB36" i="8" s="1" a="1"/>
  <c r="AB36" i="8" s="1"/>
  <c r="AC36" i="8" s="1" a="1"/>
  <c r="AC36" i="8" s="1"/>
  <c r="Y37" i="8" a="1"/>
  <c r="Y37" i="8" s="1"/>
  <c r="AA37" i="8" a="1"/>
  <c r="AA37" i="8" s="1"/>
  <c r="AB37" i="8" s="1" a="1"/>
  <c r="AB37" i="8" s="1"/>
  <c r="AC37" i="8" s="1" a="1"/>
  <c r="AC37" i="8" s="1"/>
  <c r="Q31" i="8" a="1"/>
  <c r="Q31" i="8" s="1"/>
  <c r="S31" i="8" a="1"/>
  <c r="S31" i="8" s="1"/>
  <c r="T31" i="8" s="1" a="1"/>
  <c r="T31" i="8" s="1"/>
  <c r="U31" i="8" s="1" a="1"/>
  <c r="U31" i="8" s="1"/>
  <c r="Q32" i="8" a="1"/>
  <c r="Q32" i="8" s="1"/>
  <c r="R32" i="8" s="1" a="1"/>
  <c r="R32" i="8" s="1"/>
  <c r="S32" i="8" a="1"/>
  <c r="S32" i="8" s="1"/>
  <c r="T32" i="8" s="1" a="1"/>
  <c r="T32" i="8" s="1"/>
  <c r="Q33" i="8" a="1"/>
  <c r="Q33" i="8" s="1"/>
  <c r="S33" i="8" a="1"/>
  <c r="S33" i="8" s="1"/>
  <c r="T33" i="8" s="1" a="1"/>
  <c r="T33" i="8" s="1"/>
  <c r="U33" i="8" s="1" a="1"/>
  <c r="U33" i="8" s="1"/>
  <c r="Q34" i="8" a="1"/>
  <c r="Q34" i="8" s="1"/>
  <c r="S34" i="8" a="1"/>
  <c r="S34" i="8" s="1"/>
  <c r="T34" i="8" s="1" a="1"/>
  <c r="T34" i="8" s="1"/>
  <c r="U34" i="8" s="1" a="1"/>
  <c r="U34" i="8" s="1"/>
  <c r="Q35" i="8" a="1"/>
  <c r="Q35" i="8" s="1"/>
  <c r="S35" i="8" a="1"/>
  <c r="S35" i="8" s="1"/>
  <c r="T35" i="8" s="1" a="1"/>
  <c r="T35" i="8" s="1"/>
  <c r="U35" i="8" s="1" a="1"/>
  <c r="U35" i="8" s="1"/>
  <c r="Q36" i="8" a="1"/>
  <c r="Q36" i="8" s="1"/>
  <c r="R36" i="8" s="1" a="1"/>
  <c r="R36" i="8" s="1"/>
  <c r="S36" i="8" a="1"/>
  <c r="S36" i="8" s="1"/>
  <c r="T36" i="8" s="1" a="1"/>
  <c r="T36" i="8" s="1"/>
  <c r="U36" i="8" s="1" a="1"/>
  <c r="U36" i="8" s="1"/>
  <c r="Q37" i="8" a="1"/>
  <c r="Q37" i="8" s="1"/>
  <c r="S37" i="8" a="1"/>
  <c r="S37" i="8" s="1"/>
  <c r="T37" i="8" s="1" a="1"/>
  <c r="T37" i="8" s="1"/>
  <c r="U37" i="8" s="1" a="1"/>
  <c r="U37" i="8" s="1"/>
  <c r="I31" i="8" a="1"/>
  <c r="I31" i="8" s="1"/>
  <c r="K31" i="8" a="1"/>
  <c r="K31" i="8" s="1"/>
  <c r="L31" i="8" s="1" a="1"/>
  <c r="L31" i="8" s="1"/>
  <c r="M31" i="8" s="1" a="1"/>
  <c r="M31" i="8" s="1"/>
  <c r="I32" i="8" a="1"/>
  <c r="I32" i="8" s="1"/>
  <c r="J32" i="8" s="1" a="1"/>
  <c r="J32" i="8" s="1"/>
  <c r="K32" i="8" a="1"/>
  <c r="K32" i="8" s="1"/>
  <c r="L32" i="8" s="1" a="1"/>
  <c r="L32" i="8" s="1"/>
  <c r="I33" i="8" a="1"/>
  <c r="I33" i="8" s="1"/>
  <c r="K33" i="8" a="1"/>
  <c r="K33" i="8" s="1"/>
  <c r="L33" i="8" s="1" a="1"/>
  <c r="L33" i="8" s="1"/>
  <c r="M33" i="8" s="1" a="1"/>
  <c r="M33" i="8" s="1"/>
  <c r="I34" i="8" a="1"/>
  <c r="I34" i="8" s="1"/>
  <c r="K34" i="8" a="1"/>
  <c r="K34" i="8" s="1"/>
  <c r="L34" i="8" s="1" a="1"/>
  <c r="L34" i="8" s="1"/>
  <c r="M34" i="8" s="1" a="1"/>
  <c r="M34" i="8" s="1"/>
  <c r="I35" i="8" a="1"/>
  <c r="I35" i="8" s="1"/>
  <c r="K35" i="8" a="1"/>
  <c r="K35" i="8" s="1"/>
  <c r="L35" i="8" s="1" a="1"/>
  <c r="L35" i="8" s="1"/>
  <c r="M35" i="8" s="1" a="1"/>
  <c r="M35" i="8" s="1"/>
  <c r="I36" i="8" a="1"/>
  <c r="I36" i="8" s="1"/>
  <c r="J36" i="8" s="1" a="1"/>
  <c r="J36" i="8" s="1"/>
  <c r="K36" i="8" a="1"/>
  <c r="K36" i="8" s="1"/>
  <c r="L36" i="8" s="1" a="1"/>
  <c r="L36" i="8" s="1"/>
  <c r="M36" i="8" s="1" a="1"/>
  <c r="M36" i="8" s="1"/>
  <c r="I37" i="8" a="1"/>
  <c r="I37" i="8" s="1"/>
  <c r="K37" i="8" a="1"/>
  <c r="K37" i="8" s="1"/>
  <c r="L37" i="8" s="1" a="1"/>
  <c r="L37" i="8" s="1"/>
  <c r="M37" i="8" s="1" a="1"/>
  <c r="M37" i="8" s="1"/>
  <c r="E2" i="11" a="1"/>
  <c r="E4" i="11" a="1"/>
  <c r="E6" i="11" a="1"/>
  <c r="E8" i="11" a="1"/>
  <c r="E10" i="11" a="1"/>
  <c r="E12" i="11" a="1"/>
  <c r="E14" i="11" a="1"/>
  <c r="E16" i="11" a="1"/>
  <c r="E18" i="11" a="1"/>
  <c r="E20" i="11" a="1"/>
  <c r="E22" i="11" a="1"/>
  <c r="E24" i="11" a="1"/>
  <c r="E26" i="11" a="1"/>
  <c r="E28" i="11" a="1"/>
  <c r="E30" i="11" a="1"/>
  <c r="E32" i="11" a="1"/>
  <c r="E34" i="11" a="1"/>
  <c r="E36" i="11" a="1"/>
  <c r="E38" i="11" a="1"/>
  <c r="E40" i="11" a="1"/>
  <c r="E42" i="11" a="1"/>
  <c r="E44" i="11" a="1"/>
  <c r="E46" i="11" a="1"/>
  <c r="E48" i="11" a="1"/>
  <c r="E50" i="11" a="1"/>
  <c r="E52" i="11" a="1"/>
  <c r="E54" i="11" a="1"/>
  <c r="E56" i="11" a="1"/>
  <c r="E58" i="11" a="1"/>
  <c r="E60" i="11" a="1"/>
  <c r="E62" i="11" a="1"/>
  <c r="E64" i="11" a="1"/>
  <c r="E66" i="11" a="1"/>
  <c r="E68" i="11" a="1"/>
  <c r="E70" i="11" a="1"/>
  <c r="E72" i="11" a="1"/>
  <c r="E74" i="11" a="1"/>
  <c r="E76" i="11" a="1"/>
  <c r="E3" i="11" a="1"/>
  <c r="E5" i="11" a="1"/>
  <c r="E7" i="11" a="1"/>
  <c r="E9" i="11" a="1"/>
  <c r="E11" i="11" a="1"/>
  <c r="E13" i="11" a="1"/>
  <c r="E15" i="11" a="1"/>
  <c r="E17" i="11" a="1"/>
  <c r="E19" i="11" a="1"/>
  <c r="E21" i="11" a="1"/>
  <c r="E23" i="11" a="1"/>
  <c r="E25" i="11" a="1"/>
  <c r="E27" i="11" a="1"/>
  <c r="E29" i="11" a="1"/>
  <c r="E31" i="11" a="1"/>
  <c r="E33" i="11" a="1"/>
  <c r="E35" i="11" a="1"/>
  <c r="E37" i="11" a="1"/>
  <c r="E39" i="11" a="1"/>
  <c r="E41" i="11" a="1"/>
  <c r="E43" i="11" a="1"/>
  <c r="E45" i="11" a="1"/>
  <c r="E47" i="11" a="1"/>
  <c r="E49" i="11" a="1"/>
  <c r="E51" i="11" a="1"/>
  <c r="E53" i="11" a="1"/>
  <c r="E55" i="11" a="1"/>
  <c r="E57" i="11" a="1"/>
  <c r="E59" i="11" a="1"/>
  <c r="E61" i="11" a="1"/>
  <c r="E63" i="11" a="1"/>
  <c r="E65" i="11" a="1"/>
  <c r="E67" i="11" a="1"/>
  <c r="E69" i="11" a="1"/>
  <c r="E71" i="11" a="1"/>
  <c r="E73" i="11" a="1"/>
  <c r="E75" i="11" a="1"/>
  <c r="E1" i="11" a="1"/>
  <c r="BB26" i="8" l="1"/>
  <c r="BB16" i="8"/>
  <c r="BB12" i="8"/>
  <c r="BB8" i="8"/>
  <c r="BB4" i="8"/>
  <c r="BB18" i="8"/>
  <c r="BB22" i="8"/>
  <c r="E75" i="11"/>
  <c r="E73" i="11"/>
  <c r="E71" i="11"/>
  <c r="E69" i="11"/>
  <c r="E67" i="11"/>
  <c r="E65" i="11"/>
  <c r="E63" i="11"/>
  <c r="E61" i="11"/>
  <c r="E59" i="11"/>
  <c r="E57" i="11"/>
  <c r="E55" i="11"/>
  <c r="E53" i="11"/>
  <c r="E51" i="11"/>
  <c r="E49" i="11"/>
  <c r="E47" i="11"/>
  <c r="E45" i="11"/>
  <c r="E43" i="11"/>
  <c r="E41" i="11"/>
  <c r="E39" i="11"/>
  <c r="E37" i="11"/>
  <c r="E35" i="11"/>
  <c r="E33" i="11"/>
  <c r="E31" i="11"/>
  <c r="E29" i="11"/>
  <c r="E27" i="11"/>
  <c r="E25" i="11"/>
  <c r="E23" i="11"/>
  <c r="E21" i="11"/>
  <c r="E19" i="11"/>
  <c r="E17" i="11"/>
  <c r="E15" i="11"/>
  <c r="E13" i="11"/>
  <c r="E11" i="11"/>
  <c r="E9" i="11"/>
  <c r="E7" i="11"/>
  <c r="E5" i="11"/>
  <c r="E3" i="11"/>
  <c r="E76" i="11"/>
  <c r="E74" i="11"/>
  <c r="E72" i="11"/>
  <c r="E70" i="11"/>
  <c r="E68" i="11"/>
  <c r="E66" i="11"/>
  <c r="E64" i="11"/>
  <c r="E62" i="11"/>
  <c r="E60" i="11"/>
  <c r="E58" i="11"/>
  <c r="E56" i="11"/>
  <c r="E54" i="11"/>
  <c r="E52" i="11"/>
  <c r="E50" i="11"/>
  <c r="E48" i="11"/>
  <c r="E46" i="11"/>
  <c r="E44" i="11"/>
  <c r="E42" i="11"/>
  <c r="E40" i="11"/>
  <c r="E38" i="11"/>
  <c r="E36" i="11"/>
  <c r="E34" i="11"/>
  <c r="E32" i="11"/>
  <c r="E30" i="11"/>
  <c r="E28" i="11"/>
  <c r="E26" i="11"/>
  <c r="E24" i="11"/>
  <c r="E22" i="11"/>
  <c r="E20" i="11"/>
  <c r="E18" i="11"/>
  <c r="E16" i="11"/>
  <c r="E14" i="11"/>
  <c r="E12" i="11"/>
  <c r="E10" i="11"/>
  <c r="E8" i="11"/>
  <c r="E6" i="11"/>
  <c r="E4" i="11"/>
  <c r="E2" i="11"/>
  <c r="E1" i="11"/>
  <c r="BB14" i="8"/>
  <c r="BD31" i="8"/>
  <c r="BD35" i="8"/>
  <c r="BB3" i="8"/>
  <c r="BB35" i="8"/>
  <c r="BC35" i="8" s="1" a="1"/>
  <c r="BC35" i="8" s="1"/>
  <c r="BB31" i="8"/>
  <c r="BC31" i="8" s="1" a="1"/>
  <c r="BC31" i="8" s="1"/>
  <c r="BB27" i="8"/>
  <c r="BB23" i="8"/>
  <c r="BB19" i="8"/>
  <c r="BB15" i="8"/>
  <c r="BB11" i="8"/>
  <c r="BB7" i="8"/>
  <c r="BD37" i="8"/>
  <c r="BD36" i="8"/>
  <c r="AZ33" i="8" a="1"/>
  <c r="AZ33" i="8" s="1"/>
  <c r="BD33" i="8" s="1"/>
  <c r="BD34" i="8"/>
  <c r="BB34" i="8"/>
  <c r="BC34" i="8" s="1" a="1"/>
  <c r="BC34" i="8" s="1"/>
  <c r="BB30" i="8"/>
  <c r="BB10" i="8"/>
  <c r="BB6" i="8"/>
  <c r="BB37" i="8"/>
  <c r="BC37" i="8" s="1" a="1"/>
  <c r="BC37" i="8" s="1"/>
  <c r="BB29" i="8"/>
  <c r="BB25" i="8"/>
  <c r="BB21" i="8"/>
  <c r="BB17" i="8"/>
  <c r="BB13" i="8"/>
  <c r="BB9" i="8"/>
  <c r="BB5" i="8"/>
  <c r="BA35" i="8" a="1"/>
  <c r="BA35" i="8" s="1"/>
  <c r="BA37" i="8" a="1"/>
  <c r="BA37" i="8" s="1"/>
  <c r="AZ32" i="8" a="1"/>
  <c r="AZ32" i="8" s="1"/>
  <c r="BD32" i="8" s="1"/>
  <c r="BA31" i="8" a="1"/>
  <c r="BA31" i="8" s="1"/>
  <c r="BA34" i="8" a="1"/>
  <c r="BA34" i="8" s="1"/>
  <c r="AX34" i="8" a="1"/>
  <c r="AX34" i="8" s="1"/>
  <c r="AX37" i="8" a="1"/>
  <c r="AX37" i="8" s="1"/>
  <c r="AX36" i="8" a="1"/>
  <c r="AX36" i="8" s="1"/>
  <c r="BC36" i="8" a="1"/>
  <c r="BC36" i="8" s="1"/>
  <c r="AX33" i="8" a="1"/>
  <c r="AX33" i="8" s="1"/>
  <c r="AX35" i="8" a="1"/>
  <c r="AX35" i="8" s="1"/>
  <c r="AX32" i="8" a="1"/>
  <c r="AX32" i="8" s="1"/>
  <c r="AX31" i="8" a="1"/>
  <c r="AX31" i="8" s="1"/>
  <c r="AS32" i="8" a="1"/>
  <c r="AS32" i="8" s="1"/>
  <c r="AT32" i="8"/>
  <c r="AU32" i="8" s="1" a="1"/>
  <c r="AU32" i="8" s="1"/>
  <c r="AP35" i="8" a="1"/>
  <c r="AP35" i="8" s="1"/>
  <c r="AT35" i="8"/>
  <c r="AU35" i="8" s="1" a="1"/>
  <c r="AU35" i="8" s="1"/>
  <c r="AP34" i="8" a="1"/>
  <c r="AP34" i="8" s="1"/>
  <c r="AT34" i="8"/>
  <c r="AU34" i="8" s="1" a="1"/>
  <c r="AU34" i="8" s="1"/>
  <c r="AP33" i="8" a="1"/>
  <c r="AP33" i="8" s="1"/>
  <c r="AT33" i="8"/>
  <c r="AU33" i="8" s="1" a="1"/>
  <c r="AU33" i="8" s="1"/>
  <c r="AP37" i="8" a="1"/>
  <c r="AP37" i="8" s="1"/>
  <c r="AT37" i="8"/>
  <c r="AU37" i="8" s="1" a="1"/>
  <c r="AU37" i="8" s="1"/>
  <c r="AT36" i="8"/>
  <c r="AU36" i="8" s="1" a="1"/>
  <c r="AU36" i="8" s="1"/>
  <c r="AP31" i="8" a="1"/>
  <c r="AP31" i="8" s="1"/>
  <c r="AT31" i="8"/>
  <c r="AU31" i="8" s="1" a="1"/>
  <c r="AU31" i="8" s="1"/>
  <c r="AK32" i="8" a="1"/>
  <c r="AK32" i="8" s="1"/>
  <c r="AL32" i="8"/>
  <c r="AM32" i="8" s="1" a="1"/>
  <c r="AM32" i="8" s="1"/>
  <c r="AH35" i="8" a="1"/>
  <c r="AH35" i="8" s="1"/>
  <c r="AL35" i="8"/>
  <c r="AM35" i="8" s="1" a="1"/>
  <c r="AM35" i="8" s="1"/>
  <c r="AH34" i="8" a="1"/>
  <c r="AH34" i="8" s="1"/>
  <c r="AL34" i="8"/>
  <c r="AM34" i="8" s="1" a="1"/>
  <c r="AM34" i="8" s="1"/>
  <c r="AH33" i="8" a="1"/>
  <c r="AH33" i="8" s="1"/>
  <c r="AL33" i="8"/>
  <c r="AM33" i="8" s="1" a="1"/>
  <c r="AM33" i="8" s="1"/>
  <c r="AH37" i="8" a="1"/>
  <c r="AH37" i="8" s="1"/>
  <c r="AL37" i="8"/>
  <c r="AM37" i="8" s="1" a="1"/>
  <c r="AM37" i="8" s="1"/>
  <c r="AL36" i="8"/>
  <c r="AM36" i="8" s="1" a="1"/>
  <c r="AM36" i="8" s="1"/>
  <c r="AH31" i="8" a="1"/>
  <c r="AH31" i="8" s="1"/>
  <c r="AL31" i="8"/>
  <c r="AM31" i="8" s="1" a="1"/>
  <c r="AM31" i="8" s="1"/>
  <c r="AC32" i="8" a="1"/>
  <c r="AC32" i="8" s="1"/>
  <c r="AD32" i="8"/>
  <c r="AE32" i="8" s="1" a="1"/>
  <c r="AE32" i="8" s="1"/>
  <c r="Z35" i="8" a="1"/>
  <c r="Z35" i="8" s="1"/>
  <c r="AD35" i="8"/>
  <c r="AE35" i="8" s="1" a="1"/>
  <c r="AE35" i="8" s="1"/>
  <c r="Z37" i="8" a="1"/>
  <c r="Z37" i="8" s="1"/>
  <c r="AD37" i="8"/>
  <c r="AE37" i="8" s="1" a="1"/>
  <c r="AE37" i="8" s="1"/>
  <c r="Z34" i="8" a="1"/>
  <c r="Z34" i="8" s="1"/>
  <c r="AD34" i="8"/>
  <c r="AE34" i="8" s="1" a="1"/>
  <c r="AE34" i="8" s="1"/>
  <c r="Z33" i="8" a="1"/>
  <c r="Z33" i="8" s="1"/>
  <c r="AD33" i="8"/>
  <c r="AE33" i="8" s="1" a="1"/>
  <c r="AE33" i="8" s="1"/>
  <c r="AD36" i="8"/>
  <c r="AE36" i="8" s="1" a="1"/>
  <c r="AE36" i="8" s="1"/>
  <c r="Z31" i="8" a="1"/>
  <c r="Z31" i="8" s="1"/>
  <c r="AD31" i="8"/>
  <c r="AE31" i="8" s="1" a="1"/>
  <c r="AE31" i="8" s="1"/>
  <c r="U32" i="8" a="1"/>
  <c r="U32" i="8" s="1"/>
  <c r="V32" i="8"/>
  <c r="W32" i="8" s="1" a="1"/>
  <c r="W32" i="8" s="1"/>
  <c r="R34" i="8" a="1"/>
  <c r="R34" i="8" s="1"/>
  <c r="V34" i="8"/>
  <c r="W34" i="8" s="1" a="1"/>
  <c r="W34" i="8" s="1"/>
  <c r="R37" i="8" a="1"/>
  <c r="R37" i="8" s="1"/>
  <c r="V37" i="8"/>
  <c r="W37" i="8" s="1" a="1"/>
  <c r="W37" i="8" s="1"/>
  <c r="R35" i="8" a="1"/>
  <c r="R35" i="8" s="1"/>
  <c r="V35" i="8"/>
  <c r="W35" i="8" s="1" a="1"/>
  <c r="W35" i="8" s="1"/>
  <c r="R33" i="8" a="1"/>
  <c r="R33" i="8" s="1"/>
  <c r="V33" i="8"/>
  <c r="W33" i="8" s="1" a="1"/>
  <c r="W33" i="8" s="1"/>
  <c r="V36" i="8"/>
  <c r="W36" i="8" s="1" a="1"/>
  <c r="W36" i="8" s="1"/>
  <c r="R31" i="8" a="1"/>
  <c r="R31" i="8" s="1"/>
  <c r="V31" i="8"/>
  <c r="W31" i="8" s="1" a="1"/>
  <c r="W31" i="8" s="1"/>
  <c r="M32" i="8" a="1"/>
  <c r="M32" i="8" s="1"/>
  <c r="N32" i="8"/>
  <c r="O32" i="8" s="1" a="1"/>
  <c r="O32" i="8" s="1"/>
  <c r="J34" i="8" a="1"/>
  <c r="J34" i="8" s="1"/>
  <c r="N34" i="8"/>
  <c r="O34" i="8" s="1" a="1"/>
  <c r="O34" i="8" s="1"/>
  <c r="J37" i="8" a="1"/>
  <c r="J37" i="8" s="1"/>
  <c r="N37" i="8"/>
  <c r="O37" i="8" s="1" a="1"/>
  <c r="O37" i="8" s="1"/>
  <c r="J35" i="8" a="1"/>
  <c r="J35" i="8" s="1"/>
  <c r="N35" i="8"/>
  <c r="O35" i="8" s="1" a="1"/>
  <c r="O35" i="8" s="1"/>
  <c r="J33" i="8" a="1"/>
  <c r="J33" i="8" s="1"/>
  <c r="N33" i="8"/>
  <c r="O33" i="8" s="1" a="1"/>
  <c r="O33" i="8" s="1"/>
  <c r="N36" i="8"/>
  <c r="O36" i="8" s="1" a="1"/>
  <c r="O36" i="8" s="1"/>
  <c r="J31" i="8" a="1"/>
  <c r="J31" i="8" s="1"/>
  <c r="N31" i="8"/>
  <c r="O31" i="8" s="1" a="1"/>
  <c r="O31" i="8" s="1"/>
  <c r="BA3" i="8" a="1"/>
  <c r="BA3" i="8" s="1"/>
  <c r="BA4" i="8" a="1"/>
  <c r="BA4" i="8" s="1"/>
  <c r="BA5" i="8" a="1"/>
  <c r="BA5" i="8" s="1"/>
  <c r="BA6" i="8" a="1"/>
  <c r="BA6" i="8" s="1"/>
  <c r="BA7" i="8" a="1"/>
  <c r="BA7" i="8" s="1"/>
  <c r="BA8" i="8" a="1"/>
  <c r="BA8" i="8" s="1"/>
  <c r="BA9" i="8" a="1"/>
  <c r="BA9" i="8" s="1"/>
  <c r="BA10" i="8" a="1"/>
  <c r="BA10" i="8" s="1"/>
  <c r="BA11" i="8" a="1"/>
  <c r="BA11" i="8" s="1"/>
  <c r="BA12" i="8" a="1"/>
  <c r="BA12" i="8" s="1"/>
  <c r="BA13" i="8" a="1"/>
  <c r="BA13" i="8" s="1"/>
  <c r="BA14" i="8" a="1"/>
  <c r="BA14" i="8" s="1"/>
  <c r="BA15" i="8" a="1"/>
  <c r="BA15" i="8" s="1"/>
  <c r="BA16" i="8" a="1"/>
  <c r="BA16" i="8" s="1"/>
  <c r="BA17" i="8" a="1"/>
  <c r="BA17" i="8" s="1"/>
  <c r="BA18" i="8" a="1"/>
  <c r="BA18" i="8" s="1"/>
  <c r="BA19" i="8" a="1"/>
  <c r="BA19" i="8" s="1"/>
  <c r="BA20" i="8" a="1"/>
  <c r="BA20" i="8" s="1"/>
  <c r="BA21" i="8" a="1"/>
  <c r="BA21" i="8" s="1"/>
  <c r="BA22" i="8" a="1"/>
  <c r="BA22" i="8" s="1"/>
  <c r="BA23" i="8" a="1"/>
  <c r="BA23" i="8" s="1"/>
  <c r="BA24" i="8" a="1"/>
  <c r="BA24" i="8" s="1"/>
  <c r="BA25" i="8" a="1"/>
  <c r="BA25" i="8" s="1"/>
  <c r="BA26" i="8" a="1"/>
  <c r="BA26" i="8" s="1"/>
  <c r="BA27" i="8" a="1"/>
  <c r="BA27" i="8" s="1"/>
  <c r="BA28" i="8" a="1"/>
  <c r="BA28" i="8" s="1"/>
  <c r="BA29" i="8" a="1"/>
  <c r="BA29" i="8" s="1"/>
  <c r="BA30" i="8" a="1"/>
  <c r="BA30" i="8" s="1"/>
  <c r="BA2" i="8" a="1"/>
  <c r="BA2" i="8" s="1"/>
  <c r="AX3" i="8" a="1"/>
  <c r="AX3" i="8" s="1"/>
  <c r="AX4" i="8" a="1"/>
  <c r="AX4" i="8" s="1"/>
  <c r="AX5" i="8" a="1"/>
  <c r="AX5" i="8" s="1"/>
  <c r="AX6" i="8" a="1"/>
  <c r="AX6" i="8" s="1"/>
  <c r="AX7" i="8" a="1"/>
  <c r="AX7" i="8" s="1"/>
  <c r="AX8" i="8" a="1"/>
  <c r="AX8" i="8" s="1"/>
  <c r="AX9" i="8" a="1"/>
  <c r="AX9" i="8" s="1"/>
  <c r="AX10" i="8" a="1"/>
  <c r="AX10" i="8" s="1"/>
  <c r="AX11" i="8" a="1"/>
  <c r="AX11" i="8" s="1"/>
  <c r="AX12" i="8" a="1"/>
  <c r="AX12" i="8" s="1"/>
  <c r="AX13" i="8" a="1"/>
  <c r="AX13" i="8" s="1"/>
  <c r="AX14" i="8" a="1"/>
  <c r="AX14" i="8" s="1"/>
  <c r="AX15" i="8" a="1"/>
  <c r="AX15" i="8" s="1"/>
  <c r="AX16" i="8" a="1"/>
  <c r="AX16" i="8" s="1"/>
  <c r="AX17" i="8" a="1"/>
  <c r="AX17" i="8" s="1"/>
  <c r="AX18" i="8" a="1"/>
  <c r="AX18" i="8" s="1"/>
  <c r="AX19" i="8" a="1"/>
  <c r="AX19" i="8" s="1"/>
  <c r="AX20" i="8" a="1"/>
  <c r="AX20" i="8" s="1"/>
  <c r="AX21" i="8" a="1"/>
  <c r="AX21" i="8" s="1"/>
  <c r="AX22" i="8" a="1"/>
  <c r="AX22" i="8" s="1"/>
  <c r="AX23" i="8" a="1"/>
  <c r="AX23" i="8" s="1"/>
  <c r="AX24" i="8" a="1"/>
  <c r="AX24" i="8" s="1"/>
  <c r="AX25" i="8" a="1"/>
  <c r="AX25" i="8" s="1"/>
  <c r="AX26" i="8" a="1"/>
  <c r="AX26" i="8" s="1"/>
  <c r="AX27" i="8" a="1"/>
  <c r="AX27" i="8" s="1"/>
  <c r="AX28" i="8" a="1"/>
  <c r="AX28" i="8" s="1"/>
  <c r="AX29" i="8" a="1"/>
  <c r="AX29" i="8" s="1"/>
  <c r="AX30" i="8" a="1"/>
  <c r="AX30" i="8" s="1"/>
  <c r="AX2" i="8" a="1"/>
  <c r="AX2" i="8" s="1"/>
  <c r="AQ3" i="8" a="1"/>
  <c r="AQ3" i="8" s="1"/>
  <c r="AR3" i="8" s="1" a="1"/>
  <c r="AR3" i="8" s="1"/>
  <c r="AS3" i="8" s="1" a="1"/>
  <c r="AS3" i="8" s="1"/>
  <c r="AQ4" i="8" a="1"/>
  <c r="AQ4" i="8" s="1"/>
  <c r="AR4" i="8" s="1" a="1"/>
  <c r="AR4" i="8" s="1"/>
  <c r="AS4" i="8" s="1" a="1"/>
  <c r="AS4" i="8" s="1"/>
  <c r="AQ5" i="8" a="1"/>
  <c r="AQ5" i="8" s="1"/>
  <c r="AR5" i="8" s="1" a="1"/>
  <c r="AR5" i="8" s="1"/>
  <c r="AS5" i="8" s="1" a="1"/>
  <c r="AS5" i="8" s="1"/>
  <c r="AQ6" i="8" a="1"/>
  <c r="AQ6" i="8" s="1"/>
  <c r="AR6" i="8" s="1" a="1"/>
  <c r="AR6" i="8" s="1"/>
  <c r="AS6" i="8" s="1" a="1"/>
  <c r="AS6" i="8" s="1"/>
  <c r="AQ7" i="8" a="1"/>
  <c r="AQ7" i="8" s="1"/>
  <c r="AR7" i="8" s="1" a="1"/>
  <c r="AR7" i="8" s="1"/>
  <c r="AS7" i="8" s="1" a="1"/>
  <c r="AS7" i="8" s="1"/>
  <c r="AQ8" i="8" a="1"/>
  <c r="AQ8" i="8" s="1"/>
  <c r="AR8" i="8" s="1" a="1"/>
  <c r="AR8" i="8" s="1"/>
  <c r="AS8" i="8" s="1" a="1"/>
  <c r="AS8" i="8" s="1"/>
  <c r="AQ9" i="8" a="1"/>
  <c r="AQ9" i="8" s="1"/>
  <c r="AR9" i="8" s="1" a="1"/>
  <c r="AR9" i="8" s="1"/>
  <c r="AS9" i="8" s="1" a="1"/>
  <c r="AS9" i="8" s="1"/>
  <c r="AQ10" i="8" a="1"/>
  <c r="AQ10" i="8" s="1"/>
  <c r="AR10" i="8" s="1" a="1"/>
  <c r="AR10" i="8" s="1"/>
  <c r="AS10" i="8" s="1" a="1"/>
  <c r="AS10" i="8" s="1"/>
  <c r="AQ11" i="8" a="1"/>
  <c r="AQ11" i="8" s="1"/>
  <c r="AR11" i="8" s="1" a="1"/>
  <c r="AR11" i="8" s="1"/>
  <c r="AS11" i="8" s="1" a="1"/>
  <c r="AS11" i="8" s="1"/>
  <c r="AQ12" i="8" a="1"/>
  <c r="AQ12" i="8" s="1"/>
  <c r="AR12" i="8" s="1" a="1"/>
  <c r="AR12" i="8" s="1"/>
  <c r="AS12" i="8" s="1" a="1"/>
  <c r="AS12" i="8" s="1"/>
  <c r="AQ13" i="8" a="1"/>
  <c r="AQ13" i="8" s="1"/>
  <c r="AR13" i="8" s="1" a="1"/>
  <c r="AR13" i="8" s="1"/>
  <c r="AS13" i="8" s="1" a="1"/>
  <c r="AS13" i="8" s="1"/>
  <c r="AQ14" i="8" a="1"/>
  <c r="AQ14" i="8" s="1"/>
  <c r="AR14" i="8" s="1" a="1"/>
  <c r="AR14" i="8" s="1"/>
  <c r="AS14" i="8" s="1" a="1"/>
  <c r="AS14" i="8" s="1"/>
  <c r="AQ15" i="8" a="1"/>
  <c r="AQ15" i="8" s="1"/>
  <c r="AR15" i="8" s="1" a="1"/>
  <c r="AR15" i="8" s="1"/>
  <c r="AS15" i="8" s="1" a="1"/>
  <c r="AS15" i="8" s="1"/>
  <c r="AQ16" i="8" a="1"/>
  <c r="AQ16" i="8" s="1"/>
  <c r="AR16" i="8" s="1" a="1"/>
  <c r="AR16" i="8" s="1"/>
  <c r="AS16" i="8" s="1" a="1"/>
  <c r="AS16" i="8" s="1"/>
  <c r="AQ17" i="8" a="1"/>
  <c r="AQ17" i="8" s="1"/>
  <c r="AR17" i="8" s="1" a="1"/>
  <c r="AR17" i="8" s="1"/>
  <c r="AS17" i="8" s="1" a="1"/>
  <c r="AS17" i="8" s="1"/>
  <c r="AQ18" i="8" a="1"/>
  <c r="AQ18" i="8" s="1"/>
  <c r="AR18" i="8" s="1" a="1"/>
  <c r="AR18" i="8" s="1"/>
  <c r="AS18" i="8" s="1" a="1"/>
  <c r="AS18" i="8" s="1"/>
  <c r="AQ19" i="8" a="1"/>
  <c r="AQ19" i="8" s="1"/>
  <c r="AR19" i="8" s="1" a="1"/>
  <c r="AR19" i="8" s="1"/>
  <c r="AS19" i="8" s="1" a="1"/>
  <c r="AS19" i="8" s="1"/>
  <c r="AQ20" i="8" a="1"/>
  <c r="AQ20" i="8" s="1"/>
  <c r="AR20" i="8" s="1" a="1"/>
  <c r="AR20" i="8" s="1"/>
  <c r="AS20" i="8" s="1" a="1"/>
  <c r="AS20" i="8" s="1"/>
  <c r="AQ21" i="8" a="1"/>
  <c r="AQ21" i="8" s="1"/>
  <c r="AR21" i="8" s="1" a="1"/>
  <c r="AR21" i="8" s="1"/>
  <c r="AS21" i="8" s="1" a="1"/>
  <c r="AS21" i="8" s="1"/>
  <c r="AQ22" i="8" a="1"/>
  <c r="AQ22" i="8" s="1"/>
  <c r="AR22" i="8" s="1" a="1"/>
  <c r="AR22" i="8" s="1"/>
  <c r="AS22" i="8" s="1" a="1"/>
  <c r="AS22" i="8" s="1"/>
  <c r="AQ23" i="8" a="1"/>
  <c r="AQ23" i="8" s="1"/>
  <c r="AR23" i="8" s="1" a="1"/>
  <c r="AR23" i="8" s="1"/>
  <c r="AS23" i="8" s="1" a="1"/>
  <c r="AS23" i="8" s="1"/>
  <c r="AQ24" i="8" a="1"/>
  <c r="AQ24" i="8" s="1"/>
  <c r="AR24" i="8" s="1" a="1"/>
  <c r="AR24" i="8" s="1"/>
  <c r="AS24" i="8" s="1" a="1"/>
  <c r="AS24" i="8" s="1"/>
  <c r="AQ25" i="8" a="1"/>
  <c r="AQ25" i="8" s="1"/>
  <c r="AR25" i="8" s="1" a="1"/>
  <c r="AR25" i="8" s="1"/>
  <c r="AS25" i="8" s="1" a="1"/>
  <c r="AS25" i="8" s="1"/>
  <c r="AQ26" i="8" a="1"/>
  <c r="AQ26" i="8" s="1"/>
  <c r="AR26" i="8" s="1" a="1"/>
  <c r="AR26" i="8" s="1"/>
  <c r="AS26" i="8" s="1" a="1"/>
  <c r="AS26" i="8" s="1"/>
  <c r="AQ27" i="8" a="1"/>
  <c r="AQ27" i="8" s="1"/>
  <c r="AR27" i="8" s="1" a="1"/>
  <c r="AR27" i="8" s="1"/>
  <c r="AS27" i="8" s="1" a="1"/>
  <c r="AS27" i="8" s="1"/>
  <c r="AQ28" i="8" a="1"/>
  <c r="AQ28" i="8" s="1"/>
  <c r="AR28" i="8" s="1" a="1"/>
  <c r="AR28" i="8" s="1"/>
  <c r="AS28" i="8" s="1" a="1"/>
  <c r="AS28" i="8" s="1"/>
  <c r="AQ29" i="8" a="1"/>
  <c r="AQ29" i="8" s="1"/>
  <c r="AR29" i="8" s="1" a="1"/>
  <c r="AR29" i="8" s="1"/>
  <c r="AS29" i="8" s="1" a="1"/>
  <c r="AS29" i="8" s="1"/>
  <c r="AQ30" i="8" a="1"/>
  <c r="AQ30" i="8" s="1"/>
  <c r="AR30" i="8" s="1" a="1"/>
  <c r="AR30" i="8" s="1"/>
  <c r="AS30" i="8" s="1" a="1"/>
  <c r="AS30" i="8" s="1"/>
  <c r="AQ2" i="8" a="1"/>
  <c r="AQ2" i="8" s="1"/>
  <c r="AR2" i="8" s="1" a="1"/>
  <c r="AR2" i="8" s="1"/>
  <c r="AS2" i="8" s="1" a="1"/>
  <c r="AS2" i="8" s="1"/>
  <c r="AO3" i="8" a="1"/>
  <c r="AO3" i="8" s="1"/>
  <c r="AP3" i="8" s="1" a="1"/>
  <c r="AP3" i="8" s="1"/>
  <c r="AO4" i="8" a="1"/>
  <c r="AO4" i="8" s="1"/>
  <c r="AP4" i="8" s="1" a="1"/>
  <c r="AP4" i="8" s="1"/>
  <c r="AO5" i="8" a="1"/>
  <c r="AO5" i="8" s="1"/>
  <c r="AP5" i="8" s="1" a="1"/>
  <c r="AP5" i="8" s="1"/>
  <c r="AO6" i="8" a="1"/>
  <c r="AO6" i="8" s="1"/>
  <c r="AP6" i="8" s="1" a="1"/>
  <c r="AP6" i="8" s="1"/>
  <c r="AO7" i="8" a="1"/>
  <c r="AO7" i="8" s="1"/>
  <c r="AP7" i="8" s="1" a="1"/>
  <c r="AP7" i="8" s="1"/>
  <c r="AO8" i="8" a="1"/>
  <c r="AO8" i="8" s="1"/>
  <c r="AP8" i="8" s="1" a="1"/>
  <c r="AP8" i="8" s="1"/>
  <c r="AO9" i="8" a="1"/>
  <c r="AO9" i="8" s="1"/>
  <c r="AP9" i="8" s="1" a="1"/>
  <c r="AP9" i="8" s="1"/>
  <c r="AO10" i="8" a="1"/>
  <c r="AO10" i="8" s="1"/>
  <c r="AP10" i="8" s="1" a="1"/>
  <c r="AP10" i="8" s="1"/>
  <c r="AO11" i="8" a="1"/>
  <c r="AO11" i="8" s="1"/>
  <c r="AP11" i="8" s="1" a="1"/>
  <c r="AP11" i="8" s="1"/>
  <c r="AO12" i="8" a="1"/>
  <c r="AO12" i="8" s="1"/>
  <c r="AP12" i="8" s="1" a="1"/>
  <c r="AP12" i="8" s="1"/>
  <c r="AO13" i="8" a="1"/>
  <c r="AO13" i="8" s="1"/>
  <c r="AP13" i="8" s="1" a="1"/>
  <c r="AP13" i="8" s="1"/>
  <c r="AO14" i="8" a="1"/>
  <c r="AO14" i="8" s="1"/>
  <c r="AP14" i="8" s="1" a="1"/>
  <c r="AP14" i="8" s="1"/>
  <c r="AO15" i="8" a="1"/>
  <c r="AO15" i="8" s="1"/>
  <c r="AP15" i="8" s="1" a="1"/>
  <c r="AP15" i="8" s="1"/>
  <c r="AO16" i="8" a="1"/>
  <c r="AO16" i="8" s="1"/>
  <c r="AP16" i="8" s="1" a="1"/>
  <c r="AP16" i="8" s="1"/>
  <c r="AO17" i="8" a="1"/>
  <c r="AO17" i="8" s="1"/>
  <c r="AP17" i="8" s="1" a="1"/>
  <c r="AP17" i="8" s="1"/>
  <c r="AO18" i="8" a="1"/>
  <c r="AO18" i="8" s="1"/>
  <c r="AP18" i="8" s="1" a="1"/>
  <c r="AP18" i="8" s="1"/>
  <c r="AO19" i="8" a="1"/>
  <c r="AO19" i="8" s="1"/>
  <c r="AP19" i="8" s="1" a="1"/>
  <c r="AP19" i="8" s="1"/>
  <c r="AO20" i="8" a="1"/>
  <c r="AO20" i="8" s="1"/>
  <c r="AP20" i="8" s="1" a="1"/>
  <c r="AP20" i="8" s="1"/>
  <c r="AO21" i="8" a="1"/>
  <c r="AO21" i="8" s="1"/>
  <c r="AP21" i="8" s="1" a="1"/>
  <c r="AP21" i="8" s="1"/>
  <c r="AO22" i="8" a="1"/>
  <c r="AO22" i="8" s="1"/>
  <c r="AP22" i="8" s="1" a="1"/>
  <c r="AP22" i="8" s="1"/>
  <c r="AO23" i="8" a="1"/>
  <c r="AO23" i="8" s="1"/>
  <c r="AP23" i="8" s="1" a="1"/>
  <c r="AP23" i="8" s="1"/>
  <c r="AO24" i="8" a="1"/>
  <c r="AO24" i="8" s="1"/>
  <c r="AP24" i="8" s="1" a="1"/>
  <c r="AP24" i="8" s="1"/>
  <c r="AO25" i="8" a="1"/>
  <c r="AO25" i="8" s="1"/>
  <c r="AP25" i="8" s="1" a="1"/>
  <c r="AP25" i="8" s="1"/>
  <c r="AO26" i="8" a="1"/>
  <c r="AO26" i="8" s="1"/>
  <c r="AP26" i="8" s="1" a="1"/>
  <c r="AP26" i="8" s="1"/>
  <c r="AO27" i="8" a="1"/>
  <c r="AO27" i="8" s="1"/>
  <c r="AP27" i="8" s="1" a="1"/>
  <c r="AP27" i="8" s="1"/>
  <c r="AO28" i="8" a="1"/>
  <c r="AO28" i="8" s="1"/>
  <c r="AP28" i="8" s="1" a="1"/>
  <c r="AP28" i="8" s="1"/>
  <c r="AO29" i="8" a="1"/>
  <c r="AO29" i="8" s="1"/>
  <c r="AP29" i="8" s="1" a="1"/>
  <c r="AP29" i="8" s="1"/>
  <c r="AO30" i="8" a="1"/>
  <c r="AO30" i="8" s="1"/>
  <c r="AP30" i="8" s="1" a="1"/>
  <c r="AP30" i="8" s="1"/>
  <c r="AO2" i="8" a="1"/>
  <c r="AO2" i="8" s="1"/>
  <c r="AP2" i="8" s="1" a="1"/>
  <c r="AP2" i="8" s="1"/>
  <c r="AJ3" i="8" a="1"/>
  <c r="AJ3" i="8" s="1"/>
  <c r="AK3" i="8" s="1" a="1"/>
  <c r="AK3" i="8" s="1"/>
  <c r="AJ4" i="8" a="1"/>
  <c r="AJ4" i="8" s="1"/>
  <c r="AK4" i="8" s="1" a="1"/>
  <c r="AK4" i="8" s="1"/>
  <c r="AJ5" i="8" a="1"/>
  <c r="AJ5" i="8" s="1"/>
  <c r="AK5" i="8" s="1" a="1"/>
  <c r="AK5" i="8" s="1"/>
  <c r="AJ6" i="8" a="1"/>
  <c r="AJ6" i="8" s="1"/>
  <c r="AK6" i="8" s="1" a="1"/>
  <c r="AK6" i="8" s="1"/>
  <c r="AJ7" i="8" a="1"/>
  <c r="AJ7" i="8" s="1"/>
  <c r="AK7" i="8" s="1" a="1"/>
  <c r="AK7" i="8" s="1"/>
  <c r="AJ8" i="8" a="1"/>
  <c r="AJ8" i="8" s="1"/>
  <c r="AK8" i="8" s="1" a="1"/>
  <c r="AK8" i="8" s="1"/>
  <c r="AJ9" i="8" a="1"/>
  <c r="AJ9" i="8" s="1"/>
  <c r="AK9" i="8" s="1" a="1"/>
  <c r="AK9" i="8" s="1"/>
  <c r="AJ10" i="8" a="1"/>
  <c r="AJ10" i="8" s="1"/>
  <c r="AK10" i="8" s="1" a="1"/>
  <c r="AK10" i="8" s="1"/>
  <c r="AJ11" i="8" a="1"/>
  <c r="AJ11" i="8" s="1"/>
  <c r="AK11" i="8" s="1" a="1"/>
  <c r="AK11" i="8" s="1"/>
  <c r="AJ12" i="8" a="1"/>
  <c r="AJ12" i="8" s="1"/>
  <c r="AK12" i="8" s="1" a="1"/>
  <c r="AK12" i="8" s="1"/>
  <c r="AJ13" i="8" a="1"/>
  <c r="AJ13" i="8" s="1"/>
  <c r="AK13" i="8" s="1" a="1"/>
  <c r="AK13" i="8" s="1"/>
  <c r="AJ14" i="8" a="1"/>
  <c r="AJ14" i="8" s="1"/>
  <c r="AK14" i="8" s="1" a="1"/>
  <c r="AK14" i="8" s="1"/>
  <c r="AJ15" i="8" a="1"/>
  <c r="AJ15" i="8" s="1"/>
  <c r="AK15" i="8" s="1" a="1"/>
  <c r="AK15" i="8" s="1"/>
  <c r="AJ16" i="8" a="1"/>
  <c r="AJ16" i="8" s="1"/>
  <c r="AK16" i="8" s="1" a="1"/>
  <c r="AK16" i="8" s="1"/>
  <c r="AJ17" i="8" a="1"/>
  <c r="AJ17" i="8" s="1"/>
  <c r="AK17" i="8" s="1" a="1"/>
  <c r="AK17" i="8" s="1"/>
  <c r="AJ18" i="8" a="1"/>
  <c r="AJ18" i="8" s="1"/>
  <c r="AK18" i="8" s="1" a="1"/>
  <c r="AK18" i="8" s="1"/>
  <c r="AJ19" i="8" a="1"/>
  <c r="AJ19" i="8" s="1"/>
  <c r="AK19" i="8" s="1" a="1"/>
  <c r="AK19" i="8" s="1"/>
  <c r="AJ20" i="8" a="1"/>
  <c r="AJ20" i="8" s="1"/>
  <c r="AK20" i="8" s="1" a="1"/>
  <c r="AK20" i="8" s="1"/>
  <c r="AJ21" i="8" a="1"/>
  <c r="AJ21" i="8" s="1"/>
  <c r="AK21" i="8" s="1" a="1"/>
  <c r="AK21" i="8" s="1"/>
  <c r="AJ22" i="8" a="1"/>
  <c r="AJ22" i="8" s="1"/>
  <c r="AK22" i="8" s="1" a="1"/>
  <c r="AK22" i="8" s="1"/>
  <c r="AJ23" i="8" a="1"/>
  <c r="AJ23" i="8" s="1"/>
  <c r="AK23" i="8" s="1" a="1"/>
  <c r="AK23" i="8" s="1"/>
  <c r="AJ24" i="8" a="1"/>
  <c r="AJ24" i="8" s="1"/>
  <c r="AK24" i="8" s="1" a="1"/>
  <c r="AK24" i="8" s="1"/>
  <c r="AJ25" i="8" a="1"/>
  <c r="AJ25" i="8" s="1"/>
  <c r="AK25" i="8" s="1" a="1"/>
  <c r="AK25" i="8" s="1"/>
  <c r="AJ26" i="8" a="1"/>
  <c r="AJ26" i="8" s="1"/>
  <c r="AK26" i="8" s="1" a="1"/>
  <c r="AK26" i="8" s="1"/>
  <c r="AJ27" i="8" a="1"/>
  <c r="AJ27" i="8" s="1"/>
  <c r="AK27" i="8" s="1" a="1"/>
  <c r="AK27" i="8" s="1"/>
  <c r="AJ28" i="8" a="1"/>
  <c r="AJ28" i="8" s="1"/>
  <c r="AK28" i="8" s="1" a="1"/>
  <c r="AK28" i="8" s="1"/>
  <c r="AJ29" i="8" a="1"/>
  <c r="AJ29" i="8" s="1"/>
  <c r="AK29" i="8" s="1" a="1"/>
  <c r="AK29" i="8" s="1"/>
  <c r="AJ30" i="8" a="1"/>
  <c r="AJ30" i="8" s="1"/>
  <c r="AK30" i="8" s="1" a="1"/>
  <c r="AK30" i="8" s="1"/>
  <c r="AJ2" i="8" a="1"/>
  <c r="AJ2" i="8" s="1"/>
  <c r="AK2" i="8" s="1" a="1"/>
  <c r="AK2" i="8" s="1"/>
  <c r="AG3" i="8" a="1"/>
  <c r="AG3" i="8" s="1"/>
  <c r="AH3" i="8" s="1" a="1"/>
  <c r="AH3" i="8" s="1"/>
  <c r="AG4" i="8" a="1"/>
  <c r="AG4" i="8" s="1"/>
  <c r="AH4" i="8" s="1" a="1"/>
  <c r="AH4" i="8" s="1"/>
  <c r="AG5" i="8" a="1"/>
  <c r="AG5" i="8" s="1"/>
  <c r="AH5" i="8" s="1" a="1"/>
  <c r="AH5" i="8" s="1"/>
  <c r="AG6" i="8" a="1"/>
  <c r="AG6" i="8" s="1"/>
  <c r="AH6" i="8" s="1" a="1"/>
  <c r="AH6" i="8" s="1"/>
  <c r="AG7" i="8" a="1"/>
  <c r="AG7" i="8" s="1"/>
  <c r="AH7" i="8" s="1" a="1"/>
  <c r="AH7" i="8" s="1"/>
  <c r="AG8" i="8" a="1"/>
  <c r="AG8" i="8" s="1"/>
  <c r="AH8" i="8" s="1" a="1"/>
  <c r="AH8" i="8" s="1"/>
  <c r="AG9" i="8" a="1"/>
  <c r="AG9" i="8" s="1"/>
  <c r="AH9" i="8" s="1" a="1"/>
  <c r="AH9" i="8" s="1"/>
  <c r="AG10" i="8" a="1"/>
  <c r="AG10" i="8" s="1"/>
  <c r="AG11" i="8" a="1"/>
  <c r="AG11" i="8" s="1"/>
  <c r="AH11" i="8" s="1" a="1"/>
  <c r="AH11" i="8" s="1"/>
  <c r="AG12" i="8" a="1"/>
  <c r="AG12" i="8" s="1"/>
  <c r="AH12" i="8" s="1" a="1"/>
  <c r="AH12" i="8" s="1"/>
  <c r="AG13" i="8" a="1"/>
  <c r="AG13" i="8" s="1"/>
  <c r="AH13" i="8" s="1" a="1"/>
  <c r="AH13" i="8" s="1"/>
  <c r="AG14" i="8" a="1"/>
  <c r="AG14" i="8" s="1"/>
  <c r="AH14" i="8" s="1" a="1"/>
  <c r="AH14" i="8" s="1"/>
  <c r="AG15" i="8" a="1"/>
  <c r="AG15" i="8" s="1"/>
  <c r="AH15" i="8" s="1" a="1"/>
  <c r="AH15" i="8" s="1"/>
  <c r="AG16" i="8" a="1"/>
  <c r="AG16" i="8" s="1"/>
  <c r="AH16" i="8" s="1" a="1"/>
  <c r="AH16" i="8" s="1"/>
  <c r="AG17" i="8" a="1"/>
  <c r="AG17" i="8" s="1"/>
  <c r="AH17" i="8" s="1" a="1"/>
  <c r="AH17" i="8" s="1"/>
  <c r="AG18" i="8" a="1"/>
  <c r="AG18" i="8" s="1"/>
  <c r="AH18" i="8" s="1" a="1"/>
  <c r="AH18" i="8" s="1"/>
  <c r="AG19" i="8" a="1"/>
  <c r="AG19" i="8" s="1"/>
  <c r="AH19" i="8" s="1" a="1"/>
  <c r="AH19" i="8" s="1"/>
  <c r="AG20" i="8" a="1"/>
  <c r="AG20" i="8" s="1"/>
  <c r="AH20" i="8" s="1" a="1"/>
  <c r="AH20" i="8" s="1"/>
  <c r="AG21" i="8" a="1"/>
  <c r="AG21" i="8" s="1"/>
  <c r="AH21" i="8" s="1" a="1"/>
  <c r="AH21" i="8" s="1"/>
  <c r="AG22" i="8" a="1"/>
  <c r="AG22" i="8" s="1"/>
  <c r="AH22" i="8" s="1" a="1"/>
  <c r="AH22" i="8" s="1"/>
  <c r="AG23" i="8" a="1"/>
  <c r="AG23" i="8" s="1"/>
  <c r="AH23" i="8" s="1" a="1"/>
  <c r="AH23" i="8" s="1"/>
  <c r="AG24" i="8" a="1"/>
  <c r="AG24" i="8" s="1"/>
  <c r="AH24" i="8" s="1" a="1"/>
  <c r="AH24" i="8" s="1"/>
  <c r="AG25" i="8" a="1"/>
  <c r="AG25" i="8" s="1"/>
  <c r="AH25" i="8" s="1" a="1"/>
  <c r="AH25" i="8" s="1"/>
  <c r="AG26" i="8" a="1"/>
  <c r="AG26" i="8" s="1"/>
  <c r="AH26" i="8" s="1" a="1"/>
  <c r="AH26" i="8" s="1"/>
  <c r="AG27" i="8" a="1"/>
  <c r="AG27" i="8" s="1"/>
  <c r="AH27" i="8" s="1" a="1"/>
  <c r="AH27" i="8" s="1"/>
  <c r="AG28" i="8" a="1"/>
  <c r="AG28" i="8" s="1"/>
  <c r="AH28" i="8" s="1" a="1"/>
  <c r="AH28" i="8" s="1"/>
  <c r="AG29" i="8" a="1"/>
  <c r="AG29" i="8" s="1"/>
  <c r="AH29" i="8" s="1" a="1"/>
  <c r="AH29" i="8" s="1"/>
  <c r="AG30" i="8" a="1"/>
  <c r="AG30" i="8" s="1"/>
  <c r="AH30" i="8" s="1" a="1"/>
  <c r="AH30" i="8" s="1"/>
  <c r="AG2" i="8" a="1"/>
  <c r="AG2" i="8" s="1"/>
  <c r="AH2" i="8" s="1" a="1"/>
  <c r="AH2" i="8" s="1"/>
  <c r="BB33" i="8" l="1"/>
  <c r="BC33" i="8" s="1" a="1"/>
  <c r="BC33" i="8" s="1"/>
  <c r="BA33" i="8" a="1"/>
  <c r="BA33" i="8" s="1"/>
  <c r="BB32" i="8"/>
  <c r="BC32" i="8" s="1" a="1"/>
  <c r="BC32" i="8" s="1"/>
  <c r="BA32" i="8" a="1"/>
  <c r="BA32" i="8" s="1"/>
  <c r="BC18" i="8" a="1"/>
  <c r="BC18" i="8" s="1"/>
  <c r="BC14" i="8" a="1"/>
  <c r="BC14" i="8" s="1"/>
  <c r="BC26" i="8" a="1"/>
  <c r="BC26" i="8" s="1"/>
  <c r="BC10" i="8" a="1"/>
  <c r="BC10" i="8" s="1"/>
  <c r="BC30" i="8" a="1"/>
  <c r="BC30" i="8" s="1"/>
  <c r="BC22" i="8" a="1"/>
  <c r="BC22" i="8" s="1"/>
  <c r="BC6" i="8" a="1"/>
  <c r="BC6" i="8" s="1"/>
  <c r="BC29" i="8" a="1"/>
  <c r="BC29" i="8" s="1"/>
  <c r="BC25" i="8" a="1"/>
  <c r="BC25" i="8" s="1"/>
  <c r="BC21" i="8" a="1"/>
  <c r="BC21" i="8" s="1"/>
  <c r="BC17" i="8" a="1"/>
  <c r="BC17" i="8" s="1"/>
  <c r="BC13" i="8" a="1"/>
  <c r="BC13" i="8" s="1"/>
  <c r="BC9" i="8" a="1"/>
  <c r="BC9" i="8" s="1"/>
  <c r="BC5" i="8" a="1"/>
  <c r="BC5" i="8" s="1"/>
  <c r="BC28" i="8" a="1"/>
  <c r="BC28" i="8" s="1"/>
  <c r="BC24" i="8" a="1"/>
  <c r="BC24" i="8" s="1"/>
  <c r="BC20" i="8" a="1"/>
  <c r="BC20" i="8" s="1"/>
  <c r="BC16" i="8" a="1"/>
  <c r="BC16" i="8" s="1"/>
  <c r="BC12" i="8" a="1"/>
  <c r="BC12" i="8" s="1"/>
  <c r="BC8" i="8" a="1"/>
  <c r="BC8" i="8" s="1"/>
  <c r="BC4" i="8" a="1"/>
  <c r="BC4" i="8" s="1"/>
  <c r="BC2" i="8" a="1"/>
  <c r="BC2" i="8" s="1"/>
  <c r="BC27" i="8" a="1"/>
  <c r="BC27" i="8" s="1"/>
  <c r="BC23" i="8" a="1"/>
  <c r="BC23" i="8" s="1"/>
  <c r="BC19" i="8" a="1"/>
  <c r="BC19" i="8" s="1"/>
  <c r="BC15" i="8" a="1"/>
  <c r="BC15" i="8" s="1"/>
  <c r="BC11" i="8" a="1"/>
  <c r="BC11" i="8" s="1"/>
  <c r="BC7" i="8" a="1"/>
  <c r="BC7" i="8" s="1"/>
  <c r="BC3" i="8" a="1"/>
  <c r="BC3" i="8" s="1"/>
  <c r="AT6" i="8"/>
  <c r="AU6" i="8" s="1" a="1"/>
  <c r="AU6" i="8" s="1"/>
  <c r="AT10" i="8"/>
  <c r="AU10" i="8" s="1" a="1"/>
  <c r="AU10" i="8" s="1"/>
  <c r="AT14" i="8"/>
  <c r="AU14" i="8" s="1" a="1"/>
  <c r="AU14" i="8" s="1"/>
  <c r="AT29" i="8"/>
  <c r="AU29" i="8" s="1" a="1"/>
  <c r="AU29" i="8" s="1"/>
  <c r="AT25" i="8"/>
  <c r="AU25" i="8" s="1" a="1"/>
  <c r="AU25" i="8" s="1"/>
  <c r="AT21" i="8"/>
  <c r="AU21" i="8" s="1" a="1"/>
  <c r="AU21" i="8" s="1"/>
  <c r="AT17" i="8"/>
  <c r="AU17" i="8" s="1" a="1"/>
  <c r="AU17" i="8" s="1"/>
  <c r="AT13" i="8"/>
  <c r="AU13" i="8" s="1" a="1"/>
  <c r="AU13" i="8" s="1"/>
  <c r="AT9" i="8"/>
  <c r="AU9" i="8" s="1" a="1"/>
  <c r="AU9" i="8" s="1"/>
  <c r="AT5" i="8"/>
  <c r="AU5" i="8" s="1" a="1"/>
  <c r="AU5" i="8" s="1"/>
  <c r="AT26" i="8"/>
  <c r="AU26" i="8" s="1" a="1"/>
  <c r="AU26" i="8" s="1"/>
  <c r="AT22" i="8"/>
  <c r="AU22" i="8" s="1" a="1"/>
  <c r="AU22" i="8" s="1"/>
  <c r="AT28" i="8"/>
  <c r="AU28" i="8" s="1" a="1"/>
  <c r="AU28" i="8" s="1"/>
  <c r="AT24" i="8"/>
  <c r="AU24" i="8" s="1" a="1"/>
  <c r="AU24" i="8" s="1"/>
  <c r="AT20" i="8"/>
  <c r="AU20" i="8" s="1" a="1"/>
  <c r="AU20" i="8" s="1"/>
  <c r="AT16" i="8"/>
  <c r="AU16" i="8" s="1" a="1"/>
  <c r="AU16" i="8" s="1"/>
  <c r="AT12" i="8"/>
  <c r="AU12" i="8" s="1" a="1"/>
  <c r="AU12" i="8" s="1"/>
  <c r="AT8" i="8"/>
  <c r="AU8" i="8" s="1" a="1"/>
  <c r="AU8" i="8" s="1"/>
  <c r="AT4" i="8"/>
  <c r="AU4" i="8" s="1" a="1"/>
  <c r="AU4" i="8" s="1"/>
  <c r="AT30" i="8"/>
  <c r="AU30" i="8" s="1" a="1"/>
  <c r="AU30" i="8" s="1"/>
  <c r="AT18" i="8"/>
  <c r="AU18" i="8" s="1" a="1"/>
  <c r="AU18" i="8" s="1"/>
  <c r="AT2" i="8"/>
  <c r="AU2" i="8" s="1" a="1"/>
  <c r="AU2" i="8" s="1"/>
  <c r="AT27" i="8"/>
  <c r="AU27" i="8" s="1" a="1"/>
  <c r="AU27" i="8" s="1"/>
  <c r="AT23" i="8"/>
  <c r="AU23" i="8" s="1" a="1"/>
  <c r="AU23" i="8" s="1"/>
  <c r="AT19" i="8"/>
  <c r="AU19" i="8" s="1" a="1"/>
  <c r="AU19" i="8" s="1"/>
  <c r="AT15" i="8"/>
  <c r="AU15" i="8" s="1" a="1"/>
  <c r="AU15" i="8" s="1"/>
  <c r="AT11" i="8"/>
  <c r="AU11" i="8" s="1" a="1"/>
  <c r="AU11" i="8" s="1"/>
  <c r="AT7" i="8"/>
  <c r="AU7" i="8" s="1" a="1"/>
  <c r="AU7" i="8" s="1"/>
  <c r="AT3" i="8"/>
  <c r="AU3" i="8" s="1" a="1"/>
  <c r="AU3" i="8" s="1"/>
  <c r="AL7" i="8"/>
  <c r="AM7" i="8" s="1" a="1"/>
  <c r="AM7" i="8" s="1"/>
  <c r="AH10" i="8" a="1"/>
  <c r="AH10" i="8" s="1"/>
  <c r="AL10" i="8"/>
  <c r="AM10" i="8" s="1" a="1"/>
  <c r="AM10" i="8" s="1"/>
  <c r="AL30" i="8"/>
  <c r="AM30" i="8" s="1" a="1"/>
  <c r="AM30" i="8" s="1"/>
  <c r="AL26" i="8"/>
  <c r="AM26" i="8" s="1" a="1"/>
  <c r="AM26" i="8" s="1"/>
  <c r="AL22" i="8"/>
  <c r="AM22" i="8" s="1" a="1"/>
  <c r="AM22" i="8" s="1"/>
  <c r="AL18" i="8"/>
  <c r="AM18" i="8" s="1" a="1"/>
  <c r="AM18" i="8" s="1"/>
  <c r="AL14" i="8"/>
  <c r="AM14" i="8" s="1" a="1"/>
  <c r="AM14" i="8" s="1"/>
  <c r="AL6" i="8"/>
  <c r="AM6" i="8" s="1" a="1"/>
  <c r="AM6" i="8" s="1"/>
  <c r="AL2" i="8"/>
  <c r="AM2" i="8" s="1" a="1"/>
  <c r="AM2" i="8" s="1"/>
  <c r="AL11" i="8"/>
  <c r="AM11" i="8" s="1" a="1"/>
  <c r="AM11" i="8" s="1"/>
  <c r="AL29" i="8"/>
  <c r="AM29" i="8" s="1" a="1"/>
  <c r="AM29" i="8" s="1"/>
  <c r="AL25" i="8"/>
  <c r="AM25" i="8" s="1" a="1"/>
  <c r="AM25" i="8" s="1"/>
  <c r="AL21" i="8"/>
  <c r="AM21" i="8" s="1" a="1"/>
  <c r="AM21" i="8" s="1"/>
  <c r="AL17" i="8"/>
  <c r="AM17" i="8" s="1" a="1"/>
  <c r="AM17" i="8" s="1"/>
  <c r="AL13" i="8"/>
  <c r="AM13" i="8" s="1" a="1"/>
  <c r="AM13" i="8" s="1"/>
  <c r="AL9" i="8"/>
  <c r="AM9" i="8" s="1" a="1"/>
  <c r="AM9" i="8" s="1"/>
  <c r="AL5" i="8"/>
  <c r="AM5" i="8" s="1" a="1"/>
  <c r="AM5" i="8" s="1"/>
  <c r="AL28" i="8"/>
  <c r="AM28" i="8" s="1" a="1"/>
  <c r="AM28" i="8" s="1"/>
  <c r="AL24" i="8"/>
  <c r="AM24" i="8" s="1" a="1"/>
  <c r="AM24" i="8" s="1"/>
  <c r="AL20" i="8"/>
  <c r="AM20" i="8" s="1" a="1"/>
  <c r="AM20" i="8" s="1"/>
  <c r="AL16" i="8"/>
  <c r="AM16" i="8" s="1" a="1"/>
  <c r="AM16" i="8" s="1"/>
  <c r="AL12" i="8"/>
  <c r="AM12" i="8" s="1" a="1"/>
  <c r="AM12" i="8" s="1"/>
  <c r="AL8" i="8"/>
  <c r="AM8" i="8" s="1" a="1"/>
  <c r="AM8" i="8" s="1"/>
  <c r="AL4" i="8"/>
  <c r="AM4" i="8" s="1" a="1"/>
  <c r="AM4" i="8" s="1"/>
  <c r="AL27" i="8"/>
  <c r="AM27" i="8" s="1" a="1"/>
  <c r="AM27" i="8" s="1"/>
  <c r="AL23" i="8"/>
  <c r="AM23" i="8" s="1" a="1"/>
  <c r="AM23" i="8" s="1"/>
  <c r="AL19" i="8"/>
  <c r="AM19" i="8" s="1" a="1"/>
  <c r="AM19" i="8" s="1"/>
  <c r="AL15" i="8"/>
  <c r="AM15" i="8" s="1" a="1"/>
  <c r="AM15" i="8" s="1"/>
  <c r="AL3" i="8"/>
  <c r="AM3" i="8" s="1" a="1"/>
  <c r="AM3" i="8" s="1"/>
  <c r="AA3" i="8" a="1"/>
  <c r="AA3" i="8" s="1"/>
  <c r="AB3" i="8" s="1" a="1"/>
  <c r="AB3" i="8" s="1"/>
  <c r="AC3" i="8" s="1" a="1"/>
  <c r="AC3" i="8" s="1"/>
  <c r="AA4" i="8" a="1"/>
  <c r="AA4" i="8" s="1"/>
  <c r="AB4" i="8" s="1" a="1"/>
  <c r="AB4" i="8" s="1"/>
  <c r="AC4" i="8" s="1" a="1"/>
  <c r="AC4" i="8" s="1"/>
  <c r="AA5" i="8" a="1"/>
  <c r="AA5" i="8" s="1"/>
  <c r="AB5" i="8" s="1" a="1"/>
  <c r="AB5" i="8" s="1"/>
  <c r="AC5" i="8" s="1" a="1"/>
  <c r="AC5" i="8" s="1"/>
  <c r="AA6" i="8" a="1"/>
  <c r="AA6" i="8" s="1"/>
  <c r="AB6" i="8" s="1" a="1"/>
  <c r="AB6" i="8" s="1"/>
  <c r="AC6" i="8" s="1" a="1"/>
  <c r="AC6" i="8" s="1"/>
  <c r="AA7" i="8" a="1"/>
  <c r="AA7" i="8" s="1"/>
  <c r="AB7" i="8" s="1" a="1"/>
  <c r="AB7" i="8" s="1"/>
  <c r="AC7" i="8" s="1" a="1"/>
  <c r="AC7" i="8" s="1"/>
  <c r="AA8" i="8" a="1"/>
  <c r="AA8" i="8" s="1"/>
  <c r="AB8" i="8" s="1" a="1"/>
  <c r="AB8" i="8" s="1"/>
  <c r="AC8" i="8" s="1" a="1"/>
  <c r="AC8" i="8" s="1"/>
  <c r="AA9" i="8" a="1"/>
  <c r="AA9" i="8" s="1"/>
  <c r="AB9" i="8" s="1" a="1"/>
  <c r="AB9" i="8" s="1"/>
  <c r="AC9" i="8" s="1" a="1"/>
  <c r="AC9" i="8" s="1"/>
  <c r="AA10" i="8" a="1"/>
  <c r="AA10" i="8" s="1"/>
  <c r="AB10" i="8" s="1" a="1"/>
  <c r="AB10" i="8" s="1"/>
  <c r="AC10" i="8" s="1" a="1"/>
  <c r="AC10" i="8" s="1"/>
  <c r="AA11" i="8" a="1"/>
  <c r="AA11" i="8" s="1"/>
  <c r="AB11" i="8" s="1" a="1"/>
  <c r="AB11" i="8" s="1"/>
  <c r="AC11" i="8" s="1" a="1"/>
  <c r="AC11" i="8" s="1"/>
  <c r="AA12" i="8" a="1"/>
  <c r="AA12" i="8" s="1"/>
  <c r="AB12" i="8" s="1" a="1"/>
  <c r="AB12" i="8" s="1"/>
  <c r="AC12" i="8" s="1" a="1"/>
  <c r="AC12" i="8" s="1"/>
  <c r="AA13" i="8" a="1"/>
  <c r="AA13" i="8" s="1"/>
  <c r="AB13" i="8" s="1" a="1"/>
  <c r="AB13" i="8" s="1"/>
  <c r="AC13" i="8" s="1" a="1"/>
  <c r="AC13" i="8" s="1"/>
  <c r="AA14" i="8" a="1"/>
  <c r="AA14" i="8" s="1"/>
  <c r="AB14" i="8" s="1" a="1"/>
  <c r="AB14" i="8" s="1"/>
  <c r="AC14" i="8" s="1" a="1"/>
  <c r="AC14" i="8" s="1"/>
  <c r="AA15" i="8" a="1"/>
  <c r="AA15" i="8" s="1"/>
  <c r="AB15" i="8" s="1" a="1"/>
  <c r="AB15" i="8" s="1"/>
  <c r="AC15" i="8" s="1" a="1"/>
  <c r="AC15" i="8" s="1"/>
  <c r="AA16" i="8" a="1"/>
  <c r="AA16" i="8" s="1"/>
  <c r="AB16" i="8" s="1" a="1"/>
  <c r="AB16" i="8" s="1"/>
  <c r="AC16" i="8" s="1" a="1"/>
  <c r="AC16" i="8" s="1"/>
  <c r="AA17" i="8" a="1"/>
  <c r="AA17" i="8" s="1"/>
  <c r="AB17" i="8" s="1" a="1"/>
  <c r="AB17" i="8" s="1"/>
  <c r="AC17" i="8" s="1" a="1"/>
  <c r="AC17" i="8" s="1"/>
  <c r="AA18" i="8" a="1"/>
  <c r="AA18" i="8" s="1"/>
  <c r="AB18" i="8" s="1" a="1"/>
  <c r="AB18" i="8" s="1"/>
  <c r="AC18" i="8" s="1" a="1"/>
  <c r="AC18" i="8" s="1"/>
  <c r="AA19" i="8" a="1"/>
  <c r="AA19" i="8" s="1"/>
  <c r="AB19" i="8" s="1" a="1"/>
  <c r="AB19" i="8" s="1"/>
  <c r="AC19" i="8" s="1" a="1"/>
  <c r="AC19" i="8" s="1"/>
  <c r="AA20" i="8" a="1"/>
  <c r="AA20" i="8" s="1"/>
  <c r="AB20" i="8" s="1" a="1"/>
  <c r="AB20" i="8" s="1"/>
  <c r="AC20" i="8" s="1" a="1"/>
  <c r="AC20" i="8" s="1"/>
  <c r="AA21" i="8" a="1"/>
  <c r="AA21" i="8" s="1"/>
  <c r="AB21" i="8" s="1" a="1"/>
  <c r="AB21" i="8" s="1"/>
  <c r="AC21" i="8" s="1" a="1"/>
  <c r="AC21" i="8" s="1"/>
  <c r="AA22" i="8" a="1"/>
  <c r="AA22" i="8" s="1"/>
  <c r="AB22" i="8" s="1" a="1"/>
  <c r="AB22" i="8" s="1"/>
  <c r="AC22" i="8" s="1" a="1"/>
  <c r="AC22" i="8" s="1"/>
  <c r="AA23" i="8" a="1"/>
  <c r="AA23" i="8" s="1"/>
  <c r="AB23" i="8" s="1" a="1"/>
  <c r="AB23" i="8" s="1"/>
  <c r="AC23" i="8" s="1" a="1"/>
  <c r="AC23" i="8" s="1"/>
  <c r="AA24" i="8" a="1"/>
  <c r="AA24" i="8" s="1"/>
  <c r="AB24" i="8" s="1" a="1"/>
  <c r="AB24" i="8" s="1"/>
  <c r="AC24" i="8" s="1" a="1"/>
  <c r="AC24" i="8" s="1"/>
  <c r="AA25" i="8" a="1"/>
  <c r="AA25" i="8" s="1"/>
  <c r="AB25" i="8" s="1" a="1"/>
  <c r="AB25" i="8" s="1"/>
  <c r="AC25" i="8" s="1" a="1"/>
  <c r="AC25" i="8" s="1"/>
  <c r="AA26" i="8" a="1"/>
  <c r="AA26" i="8" s="1"/>
  <c r="AB26" i="8" s="1" a="1"/>
  <c r="AB26" i="8" s="1"/>
  <c r="AC26" i="8" s="1" a="1"/>
  <c r="AC26" i="8" s="1"/>
  <c r="AA27" i="8" a="1"/>
  <c r="AA27" i="8" s="1"/>
  <c r="AB27" i="8" s="1" a="1"/>
  <c r="AB27" i="8" s="1"/>
  <c r="AC27" i="8" s="1" a="1"/>
  <c r="AC27" i="8" s="1"/>
  <c r="AA28" i="8" a="1"/>
  <c r="AA28" i="8" s="1"/>
  <c r="AB28" i="8" s="1" a="1"/>
  <c r="AB28" i="8" s="1"/>
  <c r="AC28" i="8" s="1" a="1"/>
  <c r="AC28" i="8" s="1"/>
  <c r="AA29" i="8" a="1"/>
  <c r="AA29" i="8" s="1"/>
  <c r="AB29" i="8" s="1" a="1"/>
  <c r="AB29" i="8" s="1"/>
  <c r="AC29" i="8" s="1" a="1"/>
  <c r="AC29" i="8" s="1"/>
  <c r="AA30" i="8" a="1"/>
  <c r="AA30" i="8" s="1"/>
  <c r="AB30" i="8" s="1" a="1"/>
  <c r="AB30" i="8" s="1"/>
  <c r="AC30" i="8" s="1" a="1"/>
  <c r="AC30" i="8" s="1"/>
  <c r="AA2" i="8" a="1"/>
  <c r="AA2" i="8" s="1"/>
  <c r="AB2" i="8" s="1" a="1"/>
  <c r="AB2" i="8" s="1"/>
  <c r="AC2" i="8" s="1" a="1"/>
  <c r="AC2" i="8" s="1"/>
  <c r="Y3" i="8" a="1"/>
  <c r="Y3" i="8" s="1"/>
  <c r="Y4" i="8" a="1"/>
  <c r="Y4" i="8" s="1"/>
  <c r="Y5" i="8" a="1"/>
  <c r="Y5" i="8" s="1"/>
  <c r="Y6" i="8" a="1"/>
  <c r="Y6" i="8" s="1"/>
  <c r="Y7" i="8" a="1"/>
  <c r="Y7" i="8" s="1"/>
  <c r="Y8" i="8" a="1"/>
  <c r="Y8" i="8" s="1"/>
  <c r="Y9" i="8" a="1"/>
  <c r="Y9" i="8" s="1"/>
  <c r="Y10" i="8" a="1"/>
  <c r="Y10" i="8" s="1"/>
  <c r="Y11" i="8" a="1"/>
  <c r="Y11" i="8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 s="1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 s="1"/>
  <c r="Y27" i="8" a="1"/>
  <c r="Y27" i="8" s="1"/>
  <c r="Y28" i="8" a="1"/>
  <c r="Y28" i="8" s="1"/>
  <c r="Y29" i="8" a="1"/>
  <c r="Y29" i="8" s="1"/>
  <c r="Y30" i="8" a="1"/>
  <c r="Y30" i="8" s="1"/>
  <c r="Y2" i="8" a="1"/>
  <c r="Y2" i="8" s="1"/>
  <c r="S3" i="8" a="1"/>
  <c r="S3" i="8" s="1"/>
  <c r="T3" i="8" s="1" a="1"/>
  <c r="T3" i="8" s="1"/>
  <c r="U3" i="8" s="1" a="1"/>
  <c r="U3" i="8" s="1"/>
  <c r="S4" i="8" a="1"/>
  <c r="S4" i="8" s="1"/>
  <c r="T4" i="8" s="1" a="1"/>
  <c r="T4" i="8" s="1"/>
  <c r="U4" i="8" s="1" a="1"/>
  <c r="U4" i="8" s="1"/>
  <c r="S5" i="8" a="1"/>
  <c r="S5" i="8" s="1"/>
  <c r="T5" i="8" s="1" a="1"/>
  <c r="T5" i="8" s="1"/>
  <c r="U5" i="8" s="1" a="1"/>
  <c r="U5" i="8" s="1"/>
  <c r="S6" i="8" a="1"/>
  <c r="S6" i="8" s="1"/>
  <c r="T6" i="8" s="1" a="1"/>
  <c r="T6" i="8" s="1"/>
  <c r="U6" i="8" s="1" a="1"/>
  <c r="U6" i="8" s="1"/>
  <c r="S7" i="8" a="1"/>
  <c r="S7" i="8" s="1"/>
  <c r="T7" i="8" s="1" a="1"/>
  <c r="T7" i="8" s="1"/>
  <c r="U7" i="8" s="1" a="1"/>
  <c r="U7" i="8" s="1"/>
  <c r="S8" i="8" a="1"/>
  <c r="S8" i="8" s="1"/>
  <c r="T8" i="8" s="1" a="1"/>
  <c r="T8" i="8" s="1"/>
  <c r="U8" i="8" s="1" a="1"/>
  <c r="U8" i="8" s="1"/>
  <c r="S9" i="8" a="1"/>
  <c r="S9" i="8" s="1"/>
  <c r="T9" i="8" s="1" a="1"/>
  <c r="T9" i="8" s="1"/>
  <c r="U9" i="8" s="1" a="1"/>
  <c r="U9" i="8" s="1"/>
  <c r="S10" i="8" a="1"/>
  <c r="S10" i="8" s="1"/>
  <c r="T10" i="8" s="1" a="1"/>
  <c r="T10" i="8" s="1"/>
  <c r="U10" i="8" s="1" a="1"/>
  <c r="U10" i="8" s="1"/>
  <c r="S11" i="8" a="1"/>
  <c r="S11" i="8" s="1"/>
  <c r="T11" i="8" s="1" a="1"/>
  <c r="T11" i="8" s="1"/>
  <c r="U11" i="8" s="1" a="1"/>
  <c r="U11" i="8" s="1"/>
  <c r="S12" i="8" a="1"/>
  <c r="S12" i="8" s="1"/>
  <c r="T12" i="8" s="1" a="1"/>
  <c r="T12" i="8" s="1"/>
  <c r="U12" i="8" s="1" a="1"/>
  <c r="U12" i="8" s="1"/>
  <c r="S13" i="8" a="1"/>
  <c r="S13" i="8" s="1"/>
  <c r="T13" i="8" s="1" a="1"/>
  <c r="T13" i="8" s="1"/>
  <c r="U13" i="8" s="1" a="1"/>
  <c r="U13" i="8" s="1"/>
  <c r="S14" i="8" a="1"/>
  <c r="S14" i="8" s="1"/>
  <c r="T14" i="8" s="1" a="1"/>
  <c r="T14" i="8" s="1"/>
  <c r="U14" i="8" s="1" a="1"/>
  <c r="U14" i="8" s="1"/>
  <c r="S15" i="8" a="1"/>
  <c r="S15" i="8" s="1"/>
  <c r="T15" i="8" s="1" a="1"/>
  <c r="T15" i="8" s="1"/>
  <c r="U15" i="8" s="1" a="1"/>
  <c r="U15" i="8" s="1"/>
  <c r="S16" i="8" a="1"/>
  <c r="S16" i="8" s="1"/>
  <c r="T16" i="8" s="1" a="1"/>
  <c r="T16" i="8" s="1"/>
  <c r="U16" i="8" s="1" a="1"/>
  <c r="U16" i="8" s="1"/>
  <c r="S17" i="8" a="1"/>
  <c r="S17" i="8" s="1"/>
  <c r="T17" i="8" s="1" a="1"/>
  <c r="T17" i="8" s="1"/>
  <c r="U17" i="8" s="1" a="1"/>
  <c r="U17" i="8" s="1"/>
  <c r="S18" i="8" a="1"/>
  <c r="S18" i="8" s="1"/>
  <c r="T18" i="8" s="1" a="1"/>
  <c r="T18" i="8" s="1"/>
  <c r="U18" i="8" s="1" a="1"/>
  <c r="U18" i="8" s="1"/>
  <c r="S19" i="8" a="1"/>
  <c r="S19" i="8" s="1"/>
  <c r="T19" i="8" s="1" a="1"/>
  <c r="T19" i="8" s="1"/>
  <c r="U19" i="8" s="1" a="1"/>
  <c r="U19" i="8" s="1"/>
  <c r="S20" i="8" a="1"/>
  <c r="S20" i="8" s="1"/>
  <c r="T20" i="8" s="1" a="1"/>
  <c r="T20" i="8" s="1"/>
  <c r="U20" i="8" s="1" a="1"/>
  <c r="U20" i="8" s="1"/>
  <c r="S21" i="8" a="1"/>
  <c r="S21" i="8" s="1"/>
  <c r="T21" i="8" s="1" a="1"/>
  <c r="T21" i="8" s="1"/>
  <c r="U21" i="8" s="1" a="1"/>
  <c r="U21" i="8" s="1"/>
  <c r="S22" i="8" a="1"/>
  <c r="S22" i="8" s="1"/>
  <c r="T22" i="8" s="1" a="1"/>
  <c r="T22" i="8" s="1"/>
  <c r="U22" i="8" s="1" a="1"/>
  <c r="U22" i="8" s="1"/>
  <c r="S23" i="8" a="1"/>
  <c r="S23" i="8" s="1"/>
  <c r="T23" i="8" s="1" a="1"/>
  <c r="T23" i="8" s="1"/>
  <c r="U23" i="8" s="1" a="1"/>
  <c r="U23" i="8" s="1"/>
  <c r="S24" i="8" a="1"/>
  <c r="S24" i="8" s="1"/>
  <c r="T24" i="8" s="1" a="1"/>
  <c r="T24" i="8" s="1"/>
  <c r="U24" i="8" s="1" a="1"/>
  <c r="U24" i="8" s="1"/>
  <c r="S25" i="8" a="1"/>
  <c r="S25" i="8" s="1"/>
  <c r="T25" i="8" s="1" a="1"/>
  <c r="T25" i="8" s="1"/>
  <c r="U25" i="8" s="1" a="1"/>
  <c r="U25" i="8" s="1"/>
  <c r="S26" i="8" a="1"/>
  <c r="S26" i="8" s="1"/>
  <c r="T26" i="8" s="1" a="1"/>
  <c r="T26" i="8" s="1"/>
  <c r="U26" i="8" s="1" a="1"/>
  <c r="U26" i="8" s="1"/>
  <c r="S27" i="8" a="1"/>
  <c r="S27" i="8" s="1"/>
  <c r="T27" i="8" s="1" a="1"/>
  <c r="T27" i="8" s="1"/>
  <c r="U27" i="8" s="1" a="1"/>
  <c r="U27" i="8" s="1"/>
  <c r="S28" i="8" a="1"/>
  <c r="S28" i="8" s="1"/>
  <c r="T28" i="8" s="1" a="1"/>
  <c r="T28" i="8" s="1"/>
  <c r="U28" i="8" s="1" a="1"/>
  <c r="U28" i="8" s="1"/>
  <c r="S29" i="8" a="1"/>
  <c r="S29" i="8" s="1"/>
  <c r="T29" i="8" s="1" a="1"/>
  <c r="T29" i="8" s="1"/>
  <c r="U29" i="8" s="1" a="1"/>
  <c r="U29" i="8" s="1"/>
  <c r="S30" i="8" a="1"/>
  <c r="S30" i="8" s="1"/>
  <c r="T30" i="8" s="1" a="1"/>
  <c r="T30" i="8" s="1"/>
  <c r="U30" i="8" s="1" a="1"/>
  <c r="U30" i="8" s="1"/>
  <c r="T2" i="8" a="1"/>
  <c r="T2" i="8" s="1"/>
  <c r="U2" i="8" s="1" a="1"/>
  <c r="U2" i="8" s="1"/>
  <c r="Q3" i="8" a="1"/>
  <c r="Q3" i="8" s="1"/>
  <c r="R3" i="8" s="1" a="1"/>
  <c r="R3" i="8" s="1"/>
  <c r="Q4" i="8" a="1"/>
  <c r="Q4" i="8" s="1"/>
  <c r="R4" i="8" s="1" a="1"/>
  <c r="R4" i="8" s="1"/>
  <c r="Q5" i="8" a="1"/>
  <c r="Q5" i="8" s="1"/>
  <c r="R5" i="8" s="1" a="1"/>
  <c r="R5" i="8" s="1"/>
  <c r="Q6" i="8" a="1"/>
  <c r="Q6" i="8" s="1"/>
  <c r="R6" i="8" s="1" a="1"/>
  <c r="R6" i="8" s="1"/>
  <c r="Q7" i="8" a="1"/>
  <c r="Q7" i="8" s="1"/>
  <c r="R7" i="8" s="1" a="1"/>
  <c r="R7" i="8" s="1"/>
  <c r="Q8" i="8" a="1"/>
  <c r="Q8" i="8" s="1"/>
  <c r="R8" i="8" s="1" a="1"/>
  <c r="R8" i="8" s="1"/>
  <c r="Q9" i="8" a="1"/>
  <c r="Q9" i="8" s="1"/>
  <c r="R9" i="8" s="1" a="1"/>
  <c r="R9" i="8" s="1"/>
  <c r="Q10" i="8" a="1"/>
  <c r="Q10" i="8" s="1"/>
  <c r="R10" i="8" s="1" a="1"/>
  <c r="R10" i="8" s="1"/>
  <c r="Q11" i="8" a="1"/>
  <c r="Q11" i="8" s="1"/>
  <c r="R11" i="8" s="1" a="1"/>
  <c r="R11" i="8" s="1"/>
  <c r="Q12" i="8" a="1"/>
  <c r="Q12" i="8" s="1"/>
  <c r="R12" i="8" s="1" a="1"/>
  <c r="R12" i="8" s="1"/>
  <c r="Q13" i="8" a="1"/>
  <c r="Q13" i="8" s="1"/>
  <c r="R13" i="8" s="1" a="1"/>
  <c r="R13" i="8" s="1"/>
  <c r="Q14" i="8" a="1"/>
  <c r="Q14" i="8" s="1"/>
  <c r="R14" i="8" s="1" a="1"/>
  <c r="R14" i="8" s="1"/>
  <c r="Q15" i="8" a="1"/>
  <c r="Q15" i="8" s="1"/>
  <c r="R15" i="8" s="1" a="1"/>
  <c r="R15" i="8" s="1"/>
  <c r="Q16" i="8" a="1"/>
  <c r="Q16" i="8" s="1"/>
  <c r="R16" i="8" s="1" a="1"/>
  <c r="R16" i="8" s="1"/>
  <c r="Q17" i="8" a="1"/>
  <c r="Q17" i="8" s="1"/>
  <c r="R17" i="8" s="1" a="1"/>
  <c r="R17" i="8" s="1"/>
  <c r="Q18" i="8" a="1"/>
  <c r="Q18" i="8" s="1"/>
  <c r="R18" i="8" s="1" a="1"/>
  <c r="R18" i="8" s="1"/>
  <c r="Q19" i="8" a="1"/>
  <c r="Q19" i="8" s="1"/>
  <c r="R19" i="8" s="1" a="1"/>
  <c r="R19" i="8" s="1"/>
  <c r="Q20" i="8" a="1"/>
  <c r="Q20" i="8" s="1"/>
  <c r="R20" i="8" s="1" a="1"/>
  <c r="R20" i="8" s="1"/>
  <c r="Q21" i="8" a="1"/>
  <c r="Q21" i="8" s="1"/>
  <c r="R21" i="8" s="1" a="1"/>
  <c r="R21" i="8" s="1"/>
  <c r="Q22" i="8" a="1"/>
  <c r="Q22" i="8" s="1"/>
  <c r="R22" i="8" s="1" a="1"/>
  <c r="R22" i="8" s="1"/>
  <c r="Q23" i="8" a="1"/>
  <c r="Q23" i="8" s="1"/>
  <c r="R23" i="8" s="1" a="1"/>
  <c r="R23" i="8" s="1"/>
  <c r="Q24" i="8" a="1"/>
  <c r="Q24" i="8" s="1"/>
  <c r="R24" i="8" s="1" a="1"/>
  <c r="R24" i="8" s="1"/>
  <c r="Q25" i="8" a="1"/>
  <c r="Q25" i="8" s="1"/>
  <c r="R25" i="8" s="1" a="1"/>
  <c r="R25" i="8" s="1"/>
  <c r="Q26" i="8" a="1"/>
  <c r="Q26" i="8" s="1"/>
  <c r="R26" i="8" s="1" a="1"/>
  <c r="R26" i="8" s="1"/>
  <c r="Q27" i="8" a="1"/>
  <c r="Q27" i="8" s="1"/>
  <c r="R27" i="8" s="1" a="1"/>
  <c r="R27" i="8" s="1"/>
  <c r="Q28" i="8" a="1"/>
  <c r="Q28" i="8" s="1"/>
  <c r="R28" i="8" s="1" a="1"/>
  <c r="R28" i="8" s="1"/>
  <c r="Q29" i="8" a="1"/>
  <c r="Q29" i="8" s="1"/>
  <c r="R29" i="8" s="1" a="1"/>
  <c r="R29" i="8" s="1"/>
  <c r="Q30" i="8" a="1"/>
  <c r="Q30" i="8" s="1"/>
  <c r="R30" i="8" s="1" a="1"/>
  <c r="R30" i="8" s="1"/>
  <c r="Q2" i="8" a="1"/>
  <c r="Q2" i="8" s="1"/>
  <c r="R2" i="8" s="1" a="1"/>
  <c r="R2" i="8" s="1"/>
  <c r="K3" i="8" a="1"/>
  <c r="K3" i="8" s="1"/>
  <c r="L3" i="8" s="1" a="1"/>
  <c r="L3" i="8" s="1"/>
  <c r="M3" i="8" s="1" a="1"/>
  <c r="M3" i="8" s="1"/>
  <c r="K4" i="8" a="1"/>
  <c r="K4" i="8" s="1"/>
  <c r="L4" i="8" s="1" a="1"/>
  <c r="L4" i="8" s="1"/>
  <c r="M4" i="8" s="1" a="1"/>
  <c r="M4" i="8" s="1"/>
  <c r="K5" i="8" a="1"/>
  <c r="K5" i="8" s="1"/>
  <c r="L5" i="8" s="1" a="1"/>
  <c r="L5" i="8" s="1"/>
  <c r="M5" i="8" s="1" a="1"/>
  <c r="M5" i="8" s="1"/>
  <c r="K6" i="8" a="1"/>
  <c r="K6" i="8" s="1"/>
  <c r="L6" i="8" s="1" a="1"/>
  <c r="L6" i="8" s="1"/>
  <c r="M6" i="8" s="1" a="1"/>
  <c r="M6" i="8" s="1"/>
  <c r="K7" i="8" a="1"/>
  <c r="K7" i="8" s="1"/>
  <c r="L7" i="8" s="1" a="1"/>
  <c r="L7" i="8" s="1"/>
  <c r="M7" i="8" s="1" a="1"/>
  <c r="M7" i="8" s="1"/>
  <c r="K8" i="8" a="1"/>
  <c r="K8" i="8" s="1"/>
  <c r="L8" i="8" s="1" a="1"/>
  <c r="L8" i="8" s="1"/>
  <c r="M8" i="8" s="1" a="1"/>
  <c r="M8" i="8" s="1"/>
  <c r="K9" i="8" a="1"/>
  <c r="K9" i="8" s="1"/>
  <c r="L9" i="8" s="1" a="1"/>
  <c r="L9" i="8" s="1"/>
  <c r="M9" i="8" s="1" a="1"/>
  <c r="M9" i="8" s="1"/>
  <c r="K10" i="8" a="1"/>
  <c r="K10" i="8" s="1"/>
  <c r="L10" i="8" s="1" a="1"/>
  <c r="L10" i="8" s="1"/>
  <c r="K11" i="8" a="1"/>
  <c r="K11" i="8" s="1"/>
  <c r="L11" i="8" s="1" a="1"/>
  <c r="L11" i="8" s="1"/>
  <c r="M11" i="8" s="1" a="1"/>
  <c r="M11" i="8" s="1"/>
  <c r="K12" i="8" a="1"/>
  <c r="K12" i="8" s="1"/>
  <c r="L12" i="8" s="1" a="1"/>
  <c r="L12" i="8" s="1"/>
  <c r="M12" i="8" s="1" a="1"/>
  <c r="M12" i="8" s="1"/>
  <c r="K13" i="8" a="1"/>
  <c r="K13" i="8" s="1"/>
  <c r="L13" i="8" s="1" a="1"/>
  <c r="L13" i="8" s="1"/>
  <c r="M13" i="8" s="1" a="1"/>
  <c r="M13" i="8" s="1"/>
  <c r="K14" i="8" a="1"/>
  <c r="K14" i="8" s="1"/>
  <c r="L14" i="8" s="1" a="1"/>
  <c r="L14" i="8" s="1"/>
  <c r="K15" i="8" a="1"/>
  <c r="K15" i="8" s="1"/>
  <c r="L15" i="8" s="1" a="1"/>
  <c r="L15" i="8" s="1"/>
  <c r="M15" i="8" s="1" a="1"/>
  <c r="M15" i="8" s="1"/>
  <c r="K16" i="8" a="1"/>
  <c r="K16" i="8" s="1"/>
  <c r="L16" i="8" s="1" a="1"/>
  <c r="L16" i="8" s="1"/>
  <c r="M16" i="8" s="1" a="1"/>
  <c r="M16" i="8" s="1"/>
  <c r="K17" i="8" a="1"/>
  <c r="K17" i="8" s="1"/>
  <c r="L17" i="8" s="1" a="1"/>
  <c r="L17" i="8" s="1"/>
  <c r="M17" i="8" s="1" a="1"/>
  <c r="M17" i="8" s="1"/>
  <c r="K18" i="8" a="1"/>
  <c r="K18" i="8" s="1"/>
  <c r="L18" i="8" s="1" a="1"/>
  <c r="L18" i="8" s="1"/>
  <c r="M18" i="8" s="1" a="1"/>
  <c r="M18" i="8" s="1"/>
  <c r="K19" i="8" a="1"/>
  <c r="K19" i="8" s="1"/>
  <c r="L19" i="8" s="1" a="1"/>
  <c r="L19" i="8" s="1"/>
  <c r="M19" i="8" s="1" a="1"/>
  <c r="M19" i="8" s="1"/>
  <c r="K20" i="8" a="1"/>
  <c r="K20" i="8" s="1"/>
  <c r="L20" i="8" s="1" a="1"/>
  <c r="L20" i="8" s="1"/>
  <c r="M20" i="8" s="1" a="1"/>
  <c r="M20" i="8" s="1"/>
  <c r="K21" i="8" a="1"/>
  <c r="K21" i="8" s="1"/>
  <c r="L21" i="8" s="1" a="1"/>
  <c r="L21" i="8" s="1"/>
  <c r="M21" i="8" s="1" a="1"/>
  <c r="M21" i="8" s="1"/>
  <c r="K22" i="8" a="1"/>
  <c r="K22" i="8" s="1"/>
  <c r="L22" i="8" s="1" a="1"/>
  <c r="L22" i="8" s="1"/>
  <c r="M22" i="8" s="1" a="1"/>
  <c r="M22" i="8" s="1"/>
  <c r="K23" i="8" a="1"/>
  <c r="K23" i="8" s="1"/>
  <c r="L23" i="8" s="1" a="1"/>
  <c r="L23" i="8" s="1"/>
  <c r="M23" i="8" s="1" a="1"/>
  <c r="M23" i="8" s="1"/>
  <c r="K24" i="8" a="1"/>
  <c r="K24" i="8" s="1"/>
  <c r="L24" i="8" s="1" a="1"/>
  <c r="L24" i="8" s="1"/>
  <c r="M24" i="8" s="1" a="1"/>
  <c r="M24" i="8" s="1"/>
  <c r="K25" i="8" a="1"/>
  <c r="K25" i="8" s="1"/>
  <c r="L25" i="8" s="1" a="1"/>
  <c r="L25" i="8" s="1"/>
  <c r="M25" i="8" s="1" a="1"/>
  <c r="M25" i="8" s="1"/>
  <c r="K26" i="8" a="1"/>
  <c r="K26" i="8" s="1"/>
  <c r="L26" i="8" s="1" a="1"/>
  <c r="L26" i="8" s="1"/>
  <c r="M26" i="8" s="1" a="1"/>
  <c r="M26" i="8" s="1"/>
  <c r="K27" i="8" a="1"/>
  <c r="K27" i="8" s="1"/>
  <c r="L27" i="8" s="1" a="1"/>
  <c r="L27" i="8" s="1"/>
  <c r="M27" i="8" s="1" a="1"/>
  <c r="M27" i="8" s="1"/>
  <c r="K28" i="8" a="1"/>
  <c r="K28" i="8" s="1"/>
  <c r="L28" i="8" s="1" a="1"/>
  <c r="L28" i="8" s="1"/>
  <c r="M28" i="8" s="1" a="1"/>
  <c r="M28" i="8" s="1"/>
  <c r="K29" i="8" a="1"/>
  <c r="K29" i="8" s="1"/>
  <c r="L29" i="8" s="1" a="1"/>
  <c r="L29" i="8" s="1"/>
  <c r="M29" i="8" s="1" a="1"/>
  <c r="M29" i="8" s="1"/>
  <c r="K30" i="8" a="1"/>
  <c r="K30" i="8" s="1"/>
  <c r="L30" i="8" s="1" a="1"/>
  <c r="L30" i="8" s="1"/>
  <c r="M30" i="8" s="1" a="1"/>
  <c r="M30" i="8" s="1"/>
  <c r="K2" i="8" a="1"/>
  <c r="K2" i="8" s="1"/>
  <c r="L2" i="8" s="1" a="1"/>
  <c r="L2" i="8" s="1"/>
  <c r="M2" i="8" s="1" a="1"/>
  <c r="M2" i="8" s="1"/>
  <c r="I3" i="8" a="1"/>
  <c r="I3" i="8" s="1"/>
  <c r="I4" i="8" a="1"/>
  <c r="I4" i="8" s="1"/>
  <c r="I5" i="8" a="1"/>
  <c r="I5" i="8" s="1"/>
  <c r="I6" i="8" a="1"/>
  <c r="I6" i="8" s="1"/>
  <c r="I7" i="8" a="1"/>
  <c r="I7" i="8" s="1"/>
  <c r="I8" i="8" a="1"/>
  <c r="I8" i="8" s="1"/>
  <c r="I9" i="8" a="1"/>
  <c r="I9" i="8" s="1"/>
  <c r="I10" i="8" a="1"/>
  <c r="I10" i="8" s="1"/>
  <c r="I11" i="8" a="1"/>
  <c r="I11" i="8" s="1"/>
  <c r="I12" i="8" a="1"/>
  <c r="I12" i="8" s="1"/>
  <c r="I13" i="8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2" i="8" a="1"/>
  <c r="I2" i="8" s="1"/>
  <c r="BD28" i="8" l="1"/>
  <c r="BD24" i="8"/>
  <c r="BD20" i="8"/>
  <c r="BD16" i="8"/>
  <c r="BD12" i="8"/>
  <c r="BD8" i="8"/>
  <c r="BD4" i="8"/>
  <c r="BD19" i="8"/>
  <c r="BD27" i="8"/>
  <c r="BD15" i="8"/>
  <c r="BD7" i="8"/>
  <c r="BD3" i="8"/>
  <c r="BD30" i="8"/>
  <c r="BD22" i="8"/>
  <c r="BD18" i="8"/>
  <c r="BD14" i="8"/>
  <c r="BD10" i="8"/>
  <c r="BD6" i="8"/>
  <c r="BD2" i="8"/>
  <c r="BD23" i="8"/>
  <c r="BD11" i="8"/>
  <c r="BD26" i="8"/>
  <c r="BD29" i="8"/>
  <c r="BD25" i="8"/>
  <c r="BD21" i="8"/>
  <c r="BD17" i="8"/>
  <c r="BD13" i="8"/>
  <c r="BD9" i="8"/>
  <c r="BD5" i="8"/>
  <c r="J28" i="8" a="1"/>
  <c r="J28" i="8" s="1"/>
  <c r="J20" i="8" a="1"/>
  <c r="J20" i="8" s="1"/>
  <c r="J12" i="8" a="1"/>
  <c r="J12" i="8" s="1"/>
  <c r="J8" i="8" a="1"/>
  <c r="J8" i="8" s="1"/>
  <c r="J4" i="8" a="1"/>
  <c r="J4" i="8" s="1"/>
  <c r="J2" i="8" a="1"/>
  <c r="J2" i="8" s="1"/>
  <c r="J23" i="8" a="1"/>
  <c r="J23" i="8" s="1"/>
  <c r="J15" i="8" a="1"/>
  <c r="J15" i="8" s="1"/>
  <c r="J7" i="8" a="1"/>
  <c r="J7" i="8" s="1"/>
  <c r="J30" i="8" a="1"/>
  <c r="J30" i="8" s="1"/>
  <c r="J22" i="8" a="1"/>
  <c r="J22" i="8" s="1"/>
  <c r="J18" i="8" a="1"/>
  <c r="J18" i="8" s="1"/>
  <c r="J14" i="8" a="1"/>
  <c r="J14" i="8" s="1"/>
  <c r="J10" i="8" a="1"/>
  <c r="J10" i="8" s="1"/>
  <c r="J6" i="8" a="1"/>
  <c r="J6" i="8" s="1"/>
  <c r="J24" i="8" a="1"/>
  <c r="J24" i="8" s="1"/>
  <c r="J16" i="8" a="1"/>
  <c r="J16" i="8" s="1"/>
  <c r="J27" i="8" a="1"/>
  <c r="J27" i="8" s="1"/>
  <c r="J19" i="8" a="1"/>
  <c r="J19" i="8" s="1"/>
  <c r="J11" i="8" a="1"/>
  <c r="J11" i="8" s="1"/>
  <c r="J3" i="8" a="1"/>
  <c r="J3" i="8" s="1"/>
  <c r="J29" i="8" a="1"/>
  <c r="J29" i="8" s="1"/>
  <c r="J25" i="8" a="1"/>
  <c r="J25" i="8" s="1"/>
  <c r="J21" i="8" a="1"/>
  <c r="J21" i="8" s="1"/>
  <c r="J17" i="8" a="1"/>
  <c r="J17" i="8" s="1"/>
  <c r="J13" i="8" a="1"/>
  <c r="J13" i="8" s="1"/>
  <c r="J9" i="8" a="1"/>
  <c r="J9" i="8" s="1"/>
  <c r="J5" i="8" a="1"/>
  <c r="J5" i="8" s="1"/>
  <c r="Z30" i="8" a="1"/>
  <c r="Z30" i="8" s="1"/>
  <c r="AD30" i="8"/>
  <c r="AE30" i="8" s="1" a="1"/>
  <c r="AE30" i="8" s="1"/>
  <c r="Z26" i="8" a="1"/>
  <c r="Z26" i="8" s="1"/>
  <c r="AD26" i="8"/>
  <c r="AE26" i="8" s="1" a="1"/>
  <c r="AE26" i="8" s="1"/>
  <c r="Z22" i="8" a="1"/>
  <c r="Z22" i="8" s="1"/>
  <c r="AD22" i="8"/>
  <c r="AE22" i="8" s="1" a="1"/>
  <c r="AE22" i="8" s="1"/>
  <c r="Z18" i="8" a="1"/>
  <c r="Z18" i="8" s="1"/>
  <c r="AD18" i="8"/>
  <c r="AE18" i="8" s="1" a="1"/>
  <c r="AE18" i="8" s="1"/>
  <c r="Z14" i="8" a="1"/>
  <c r="Z14" i="8" s="1"/>
  <c r="AD14" i="8"/>
  <c r="AE14" i="8" s="1" a="1"/>
  <c r="AE14" i="8" s="1"/>
  <c r="Z10" i="8" a="1"/>
  <c r="Z10" i="8" s="1"/>
  <c r="AD10" i="8"/>
  <c r="AE10" i="8" s="1" a="1"/>
  <c r="AE10" i="8" s="1"/>
  <c r="Z6" i="8" a="1"/>
  <c r="Z6" i="8" s="1"/>
  <c r="AD6" i="8"/>
  <c r="AE6" i="8" s="1" a="1"/>
  <c r="AE6" i="8" s="1"/>
  <c r="Z29" i="8" a="1"/>
  <c r="Z29" i="8" s="1"/>
  <c r="AD29" i="8"/>
  <c r="AE29" i="8" s="1" a="1"/>
  <c r="AE29" i="8" s="1"/>
  <c r="Z25" i="8" a="1"/>
  <c r="Z25" i="8" s="1"/>
  <c r="AD25" i="8"/>
  <c r="AE25" i="8" s="1" a="1"/>
  <c r="AE25" i="8" s="1"/>
  <c r="Z21" i="8" a="1"/>
  <c r="Z21" i="8" s="1"/>
  <c r="AD21" i="8"/>
  <c r="AE21" i="8" s="1" a="1"/>
  <c r="AE21" i="8" s="1"/>
  <c r="Z17" i="8" a="1"/>
  <c r="Z17" i="8" s="1"/>
  <c r="AD17" i="8"/>
  <c r="AE17" i="8" s="1" a="1"/>
  <c r="AE17" i="8" s="1"/>
  <c r="Z13" i="8" a="1"/>
  <c r="Z13" i="8" s="1"/>
  <c r="AD13" i="8"/>
  <c r="AE13" i="8" s="1" a="1"/>
  <c r="AE13" i="8" s="1"/>
  <c r="Z9" i="8" a="1"/>
  <c r="Z9" i="8" s="1"/>
  <c r="AD9" i="8"/>
  <c r="AE9" i="8" s="1" a="1"/>
  <c r="AE9" i="8" s="1"/>
  <c r="Z5" i="8" a="1"/>
  <c r="Z5" i="8" s="1"/>
  <c r="AD5" i="8"/>
  <c r="AE5" i="8" s="1" a="1"/>
  <c r="AE5" i="8" s="1"/>
  <c r="Z28" i="8" a="1"/>
  <c r="Z28" i="8" s="1"/>
  <c r="AD28" i="8"/>
  <c r="AE28" i="8" s="1" a="1"/>
  <c r="AE28" i="8" s="1"/>
  <c r="Z24" i="8" a="1"/>
  <c r="Z24" i="8" s="1"/>
  <c r="AD24" i="8"/>
  <c r="AE24" i="8" s="1" a="1"/>
  <c r="AE24" i="8" s="1"/>
  <c r="Z20" i="8" a="1"/>
  <c r="Z20" i="8" s="1"/>
  <c r="AD20" i="8"/>
  <c r="AE20" i="8" s="1" a="1"/>
  <c r="AE20" i="8" s="1"/>
  <c r="Z16" i="8" a="1"/>
  <c r="Z16" i="8" s="1"/>
  <c r="AD16" i="8"/>
  <c r="AE16" i="8" s="1" a="1"/>
  <c r="AE16" i="8" s="1"/>
  <c r="Z12" i="8" a="1"/>
  <c r="Z12" i="8" s="1"/>
  <c r="AD12" i="8"/>
  <c r="AE12" i="8" s="1" a="1"/>
  <c r="AE12" i="8" s="1"/>
  <c r="Z8" i="8" a="1"/>
  <c r="Z8" i="8" s="1"/>
  <c r="AD8" i="8"/>
  <c r="AE8" i="8" s="1" a="1"/>
  <c r="AE8" i="8" s="1"/>
  <c r="Z4" i="8" a="1"/>
  <c r="Z4" i="8" s="1"/>
  <c r="AD4" i="8"/>
  <c r="AE4" i="8" s="1" a="1"/>
  <c r="AE4" i="8" s="1"/>
  <c r="Z2" i="8" a="1"/>
  <c r="Z2" i="8" s="1"/>
  <c r="AD2" i="8"/>
  <c r="AE2" i="8" s="1" a="1"/>
  <c r="AE2" i="8" s="1"/>
  <c r="Z27" i="8" a="1"/>
  <c r="Z27" i="8" s="1"/>
  <c r="AD27" i="8"/>
  <c r="AE27" i="8" s="1" a="1"/>
  <c r="AE27" i="8" s="1"/>
  <c r="Z23" i="8" a="1"/>
  <c r="Z23" i="8" s="1"/>
  <c r="AD23" i="8"/>
  <c r="AE23" i="8" s="1" a="1"/>
  <c r="AE23" i="8" s="1"/>
  <c r="Z19" i="8" a="1"/>
  <c r="Z19" i="8" s="1"/>
  <c r="AD19" i="8"/>
  <c r="AE19" i="8" s="1" a="1"/>
  <c r="AE19" i="8" s="1"/>
  <c r="Z15" i="8" a="1"/>
  <c r="Z15" i="8" s="1"/>
  <c r="AD15" i="8"/>
  <c r="AE15" i="8" s="1" a="1"/>
  <c r="AE15" i="8" s="1"/>
  <c r="Z11" i="8" a="1"/>
  <c r="Z11" i="8" s="1"/>
  <c r="AD11" i="8"/>
  <c r="AE11" i="8" s="1" a="1"/>
  <c r="AE11" i="8" s="1"/>
  <c r="Z7" i="8" a="1"/>
  <c r="Z7" i="8" s="1"/>
  <c r="AD7" i="8"/>
  <c r="AE7" i="8" s="1" a="1"/>
  <c r="AE7" i="8" s="1"/>
  <c r="Z3" i="8" a="1"/>
  <c r="Z3" i="8" s="1"/>
  <c r="AD3" i="8"/>
  <c r="AE3" i="8" s="1" a="1"/>
  <c r="AE3" i="8" s="1"/>
  <c r="V5" i="8"/>
  <c r="W5" i="8" s="1" a="1"/>
  <c r="W5" i="8" s="1"/>
  <c r="V29" i="8"/>
  <c r="W29" i="8" s="1" a="1"/>
  <c r="W29" i="8" s="1"/>
  <c r="V21" i="8"/>
  <c r="W21" i="8" s="1" a="1"/>
  <c r="W21" i="8" s="1"/>
  <c r="V13" i="8"/>
  <c r="W13" i="8" s="1" a="1"/>
  <c r="W13" i="8" s="1"/>
  <c r="V26" i="8"/>
  <c r="W26" i="8" s="1" a="1"/>
  <c r="W26" i="8" s="1"/>
  <c r="V18" i="8"/>
  <c r="W18" i="8" s="1" a="1"/>
  <c r="W18" i="8" s="1"/>
  <c r="V10" i="8"/>
  <c r="W10" i="8" s="1" a="1"/>
  <c r="W10" i="8" s="1"/>
  <c r="V25" i="8"/>
  <c r="W25" i="8" s="1" a="1"/>
  <c r="W25" i="8" s="1"/>
  <c r="V17" i="8"/>
  <c r="W17" i="8" s="1" a="1"/>
  <c r="W17" i="8" s="1"/>
  <c r="V9" i="8"/>
  <c r="W9" i="8" s="1" a="1"/>
  <c r="W9" i="8" s="1"/>
  <c r="V30" i="8"/>
  <c r="W30" i="8" s="1" a="1"/>
  <c r="W30" i="8" s="1"/>
  <c r="V22" i="8"/>
  <c r="W22" i="8" s="1" a="1"/>
  <c r="W22" i="8" s="1"/>
  <c r="V14" i="8"/>
  <c r="W14" i="8" s="1" a="1"/>
  <c r="W14" i="8" s="1"/>
  <c r="V6" i="8"/>
  <c r="W6" i="8" s="1" a="1"/>
  <c r="W6" i="8" s="1"/>
  <c r="V28" i="8"/>
  <c r="W28" i="8" s="1" a="1"/>
  <c r="W28" i="8" s="1"/>
  <c r="V24" i="8"/>
  <c r="W24" i="8" s="1" a="1"/>
  <c r="W24" i="8" s="1"/>
  <c r="V20" i="8"/>
  <c r="W20" i="8" s="1" a="1"/>
  <c r="W20" i="8" s="1"/>
  <c r="V16" i="8"/>
  <c r="W16" i="8" s="1" a="1"/>
  <c r="W16" i="8" s="1"/>
  <c r="V12" i="8"/>
  <c r="W12" i="8" s="1" a="1"/>
  <c r="W12" i="8" s="1"/>
  <c r="V8" i="8"/>
  <c r="W8" i="8" s="1" a="1"/>
  <c r="W8" i="8" s="1"/>
  <c r="V4" i="8"/>
  <c r="W4" i="8" s="1" a="1"/>
  <c r="W4" i="8" s="1"/>
  <c r="V2" i="8"/>
  <c r="W2" i="8" s="1" a="1"/>
  <c r="W2" i="8" s="1"/>
  <c r="V27" i="8"/>
  <c r="W27" i="8" s="1" a="1"/>
  <c r="W27" i="8" s="1"/>
  <c r="V23" i="8"/>
  <c r="W23" i="8" s="1" a="1"/>
  <c r="W23" i="8" s="1"/>
  <c r="V19" i="8"/>
  <c r="W19" i="8" s="1" a="1"/>
  <c r="W19" i="8" s="1"/>
  <c r="V15" i="8"/>
  <c r="W15" i="8" s="1" a="1"/>
  <c r="W15" i="8" s="1"/>
  <c r="V11" i="8"/>
  <c r="W11" i="8" s="1" a="1"/>
  <c r="W11" i="8" s="1"/>
  <c r="V7" i="8"/>
  <c r="W7" i="8" s="1" a="1"/>
  <c r="W7" i="8" s="1"/>
  <c r="V3" i="8"/>
  <c r="W3" i="8" s="1" a="1"/>
  <c r="W3" i="8" s="1"/>
  <c r="N30" i="8"/>
  <c r="O30" i="8" s="1" a="1"/>
  <c r="O30" i="8" s="1"/>
  <c r="N14" i="8"/>
  <c r="O14" i="8" s="1" a="1"/>
  <c r="O14" i="8" s="1"/>
  <c r="N10" i="8"/>
  <c r="O10" i="8" s="1" a="1"/>
  <c r="O10" i="8" s="1"/>
  <c r="J26" i="8" a="1"/>
  <c r="J26" i="8" s="1"/>
  <c r="N26" i="8"/>
  <c r="O26" i="8" s="1" a="1"/>
  <c r="O26" i="8" s="1"/>
  <c r="N18" i="8"/>
  <c r="O18" i="8" s="1" a="1"/>
  <c r="O18" i="8" s="1"/>
  <c r="N6" i="8"/>
  <c r="O6" i="8" s="1" a="1"/>
  <c r="O6" i="8" s="1"/>
  <c r="M10" i="8" a="1"/>
  <c r="M10" i="8" s="1"/>
  <c r="N29" i="8"/>
  <c r="O29" i="8" s="1" a="1"/>
  <c r="O29" i="8" s="1"/>
  <c r="N25" i="8"/>
  <c r="O25" i="8" s="1" a="1"/>
  <c r="O25" i="8" s="1"/>
  <c r="N21" i="8"/>
  <c r="O21" i="8" s="1" a="1"/>
  <c r="O21" i="8" s="1"/>
  <c r="N17" i="8"/>
  <c r="O17" i="8" s="1" a="1"/>
  <c r="O17" i="8" s="1"/>
  <c r="N13" i="8"/>
  <c r="O13" i="8" s="1" a="1"/>
  <c r="O13" i="8" s="1"/>
  <c r="N9" i="8"/>
  <c r="O9" i="8" s="1" a="1"/>
  <c r="O9" i="8" s="1"/>
  <c r="N5" i="8"/>
  <c r="O5" i="8" s="1" a="1"/>
  <c r="O5" i="8" s="1"/>
  <c r="M14" i="8" a="1"/>
  <c r="M14" i="8" s="1"/>
  <c r="N22" i="8"/>
  <c r="O22" i="8" s="1" a="1"/>
  <c r="O22" i="8" s="1"/>
  <c r="N28" i="8"/>
  <c r="O28" i="8" s="1" a="1"/>
  <c r="O28" i="8" s="1"/>
  <c r="N24" i="8"/>
  <c r="O24" i="8" s="1" a="1"/>
  <c r="O24" i="8" s="1"/>
  <c r="N20" i="8"/>
  <c r="O20" i="8" s="1" a="1"/>
  <c r="O20" i="8" s="1"/>
  <c r="N16" i="8"/>
  <c r="O16" i="8" s="1" a="1"/>
  <c r="O16" i="8" s="1"/>
  <c r="N12" i="8"/>
  <c r="O12" i="8" s="1" a="1"/>
  <c r="O12" i="8" s="1"/>
  <c r="N8" i="8"/>
  <c r="O8" i="8" s="1" a="1"/>
  <c r="O8" i="8" s="1"/>
  <c r="N4" i="8"/>
  <c r="O4" i="8" s="1" a="1"/>
  <c r="O4" i="8" s="1"/>
  <c r="N2" i="8"/>
  <c r="O2" i="8" s="1" a="1"/>
  <c r="O2" i="8" s="1"/>
  <c r="N27" i="8"/>
  <c r="O27" i="8" s="1" a="1"/>
  <c r="O27" i="8" s="1"/>
  <c r="N23" i="8"/>
  <c r="O23" i="8" s="1" a="1"/>
  <c r="O23" i="8" s="1"/>
  <c r="N19" i="8"/>
  <c r="O19" i="8" s="1" a="1"/>
  <c r="O19" i="8" s="1"/>
  <c r="N15" i="8"/>
  <c r="O15" i="8" s="1" a="1"/>
  <c r="O15" i="8" s="1"/>
  <c r="N11" i="8"/>
  <c r="O11" i="8" s="1" a="1"/>
  <c r="O11" i="8" s="1"/>
  <c r="N7" i="8"/>
  <c r="O7" i="8" s="1" a="1"/>
  <c r="O7" i="8" s="1"/>
  <c r="N3" i="8"/>
  <c r="O3" i="8" s="1" a="1"/>
  <c r="O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<sst xmlns="http://schemas.openxmlformats.org/spreadsheetml/2006/main" count="503" uniqueCount="371">
  <si>
    <t>R.N.</t>
  </si>
  <si>
    <t>Regd. No.</t>
  </si>
  <si>
    <t>Exam Roll No.</t>
  </si>
  <si>
    <t>NAME</t>
  </si>
  <si>
    <t>BCH</t>
  </si>
  <si>
    <t>DOB(BS)</t>
  </si>
  <si>
    <t>DOB(AD)</t>
  </si>
  <si>
    <t>English (75)</t>
  </si>
  <si>
    <t>Eng_TH_GP</t>
  </si>
  <si>
    <t>Eng_TH_G</t>
  </si>
  <si>
    <t>English(25)</t>
  </si>
  <si>
    <t>Eng_IN_GP</t>
  </si>
  <si>
    <t>Eng_IN_G</t>
  </si>
  <si>
    <t>Eng_Avg_GP</t>
  </si>
  <si>
    <t>Final_Eng_G</t>
  </si>
  <si>
    <t>Nepali (75)</t>
  </si>
  <si>
    <t>Nep_TH_GP</t>
  </si>
  <si>
    <t>Nep_TH_G</t>
  </si>
  <si>
    <t>Nepali(25)</t>
  </si>
  <si>
    <t>Nep_IN_GP</t>
  </si>
  <si>
    <t>Nep_IN_G</t>
  </si>
  <si>
    <t>Nep_Avg_GP</t>
  </si>
  <si>
    <t>Nep_Final_G</t>
  </si>
  <si>
    <t>Account (75)</t>
  </si>
  <si>
    <t>Acc_TH_GP</t>
  </si>
  <si>
    <t>Acc_TH_G</t>
  </si>
  <si>
    <t>Account(25)</t>
  </si>
  <si>
    <t>Acc_IN_GP</t>
  </si>
  <si>
    <t>Acc_IN_G</t>
  </si>
  <si>
    <t>Acc_Avg_GP</t>
  </si>
  <si>
    <t>Acc_final_G</t>
  </si>
  <si>
    <t>Eco(75)</t>
  </si>
  <si>
    <t>Eco_TH_GP</t>
  </si>
  <si>
    <t>Eco_TH_G</t>
  </si>
  <si>
    <t>Eco(25)</t>
  </si>
  <si>
    <t>Eco_IN_GP</t>
  </si>
  <si>
    <t>Eco_IN_G</t>
  </si>
  <si>
    <t>Eco_Avg_GP</t>
  </si>
  <si>
    <t>Eco_Final_G</t>
  </si>
  <si>
    <t>MS(75)</t>
  </si>
  <si>
    <t>MS_TH_GP</t>
  </si>
  <si>
    <t>MS_TH_G</t>
  </si>
  <si>
    <t>MS_IN_GP</t>
  </si>
  <si>
    <t>MS_IN_G</t>
  </si>
  <si>
    <t>MS_Avg_GP</t>
  </si>
  <si>
    <t>MS_Final_G</t>
  </si>
  <si>
    <t>BS75CHM50</t>
  </si>
  <si>
    <t>BS75CHM50_TH_GP</t>
  </si>
  <si>
    <t>BS75CHM50_Th_G</t>
  </si>
  <si>
    <t>BS75CHM50_IN</t>
  </si>
  <si>
    <t>BS75CHM50_IN_GP</t>
  </si>
  <si>
    <t>BS75CHM50_IN_G</t>
  </si>
  <si>
    <t>BS75CHM50_Avg_GP</t>
  </si>
  <si>
    <t>BS75CHM50_Final_G</t>
  </si>
  <si>
    <t>Final_GPA</t>
  </si>
  <si>
    <t>Aarju Pakhrin</t>
  </si>
  <si>
    <t>BS</t>
  </si>
  <si>
    <t>Aishwarya Dhungana</t>
  </si>
  <si>
    <t>Aljina Pandey</t>
  </si>
  <si>
    <t>Anuska Bam</t>
  </si>
  <si>
    <t>Bigyan Shrestha</t>
  </si>
  <si>
    <t>Chetan Gharti Magar</t>
  </si>
  <si>
    <t>Kripa Gurung</t>
  </si>
  <si>
    <t>Kriti Ghimire</t>
  </si>
  <si>
    <t>Kushal Bhattarai</t>
  </si>
  <si>
    <t>Manjil Bhandari</t>
  </si>
  <si>
    <t>Nita Bhatta</t>
  </si>
  <si>
    <t>Pragya Sapkota</t>
  </si>
  <si>
    <t>Prawesh Budhathoki</t>
  </si>
  <si>
    <t>Preeti Sitaula</t>
  </si>
  <si>
    <t>Radharani Thapa</t>
  </si>
  <si>
    <t>Rupesh Timilsina</t>
  </si>
  <si>
    <t>Shova Shrestha</t>
  </si>
  <si>
    <t>Shreeya Shrestha</t>
  </si>
  <si>
    <t>Smarika Sing Thakuri</t>
  </si>
  <si>
    <t>Srija Ghale</t>
  </si>
  <si>
    <t>Sumnima Phuyal</t>
  </si>
  <si>
    <t>Sanjaya Shrestha</t>
  </si>
  <si>
    <t>Kushal Shrestha</t>
  </si>
  <si>
    <t>Adish Gurung</t>
  </si>
  <si>
    <t>CHM</t>
  </si>
  <si>
    <t>Anjan Magar</t>
  </si>
  <si>
    <t>Arjun Tamang</t>
  </si>
  <si>
    <t>Ashim Adhikari</t>
  </si>
  <si>
    <t>Bibek Karki</t>
  </si>
  <si>
    <t>Bibek Thapa</t>
  </si>
  <si>
    <t>Bipin Bhujel</t>
  </si>
  <si>
    <t>Bishojeet Chhetri Thapa</t>
  </si>
  <si>
    <t>Manoj Baniya</t>
  </si>
  <si>
    <t>Nigen Buddhacharya</t>
  </si>
  <si>
    <t>Nikita Gharti</t>
  </si>
  <si>
    <t>Nirajan Chaudhari</t>
  </si>
  <si>
    <t>Nitesh Chaulagain</t>
  </si>
  <si>
    <t>Prabin Khatri</t>
  </si>
  <si>
    <t>Prajwal Kunwar</t>
  </si>
  <si>
    <t>Pratikshya Nepali</t>
  </si>
  <si>
    <t>Preeti Phuyal</t>
  </si>
  <si>
    <t>Rekina Bhatta</t>
  </si>
  <si>
    <t>Rohit Kumar</t>
  </si>
  <si>
    <t>Samjit Bahadur Ghale</t>
  </si>
  <si>
    <t>Sandesh Thapaliya</t>
  </si>
  <si>
    <t>Shreedeep Dhakal</t>
  </si>
  <si>
    <t>Suyodhan Khatiwoda</t>
  </si>
  <si>
    <t>Anjil Balami</t>
  </si>
  <si>
    <t>Ugesh Gurung</t>
  </si>
  <si>
    <t>Parikshit Pantha</t>
  </si>
  <si>
    <t>Aayushma Balami</t>
  </si>
  <si>
    <t>Atish Gurung</t>
  </si>
  <si>
    <t>Binita Ghale</t>
  </si>
  <si>
    <t>Prakriti Bhatta</t>
  </si>
  <si>
    <t>Dilip Kumar Dumjum</t>
  </si>
  <si>
    <t>Dinesh Bhul</t>
  </si>
  <si>
    <t>Nabin Tamang</t>
  </si>
  <si>
    <t>Riya Khatri</t>
  </si>
  <si>
    <t>Rohit Bohara</t>
  </si>
  <si>
    <t>Sagar Bahadur Kunwar</t>
  </si>
  <si>
    <t>Sagar Thapa</t>
  </si>
  <si>
    <t>Saroj Kumar Shah Teli</t>
  </si>
  <si>
    <t>Sarthak Rai</t>
  </si>
  <si>
    <t>Sashank Man Sthapit</t>
  </si>
  <si>
    <t>Sudin Dhakal</t>
  </si>
  <si>
    <t>Susan Syangtan</t>
  </si>
  <si>
    <t>Yogesh Singh Thakuri</t>
  </si>
  <si>
    <t>Rupesh Gurung</t>
  </si>
  <si>
    <t>2060/01/07</t>
  </si>
  <si>
    <t>2003/04/20</t>
  </si>
  <si>
    <t>2061/10/08</t>
  </si>
  <si>
    <t>2005/01/21</t>
  </si>
  <si>
    <t>2059/10/27</t>
  </si>
  <si>
    <t>2003/02/10</t>
  </si>
  <si>
    <t>2061/09/02</t>
  </si>
  <si>
    <t>2004/12/17</t>
  </si>
  <si>
    <t>2060/11/18</t>
  </si>
  <si>
    <t>2004/03/01</t>
  </si>
  <si>
    <t>2061/05/18</t>
  </si>
  <si>
    <t>2004/09/03</t>
  </si>
  <si>
    <t>2059/07/19</t>
  </si>
  <si>
    <t>2002/11/05</t>
  </si>
  <si>
    <t>2061/02/15</t>
  </si>
  <si>
    <t>2004/05/28</t>
  </si>
  <si>
    <t>2061/05/24</t>
  </si>
  <si>
    <t>2004/09/09</t>
  </si>
  <si>
    <t>2062/07/22</t>
  </si>
  <si>
    <t>2005/11/08</t>
  </si>
  <si>
    <t>2059/12/04</t>
  </si>
  <si>
    <t>2003/03/18</t>
  </si>
  <si>
    <t>2057/12/31</t>
  </si>
  <si>
    <t>2001/04/13</t>
  </si>
  <si>
    <t>2060/01/03</t>
  </si>
  <si>
    <t>2003/04/16</t>
  </si>
  <si>
    <t>2061/06/26</t>
  </si>
  <si>
    <t>2004/10/12</t>
  </si>
  <si>
    <t>2060/12/10</t>
  </si>
  <si>
    <t>2004/03/23</t>
  </si>
  <si>
    <t>2060/06/20</t>
  </si>
  <si>
    <t>2003/10/07</t>
  </si>
  <si>
    <t>2060/06/19</t>
  </si>
  <si>
    <t>2003/10/06</t>
  </si>
  <si>
    <t>2061/04/16</t>
  </si>
  <si>
    <t>2004/07/31</t>
  </si>
  <si>
    <t>2061/06/18</t>
  </si>
  <si>
    <t>2004/10/04</t>
  </si>
  <si>
    <t>2003/11/20</t>
  </si>
  <si>
    <t>2060/03/27</t>
  </si>
  <si>
    <t>2003/07/11</t>
  </si>
  <si>
    <t>2061/08/27</t>
  </si>
  <si>
    <t>2004/12/12</t>
  </si>
  <si>
    <t>2060/12/29</t>
  </si>
  <si>
    <t>2004/04/11</t>
  </si>
  <si>
    <t>2062/05/14</t>
  </si>
  <si>
    <t>2005/08/30</t>
  </si>
  <si>
    <t>2060/06/18</t>
  </si>
  <si>
    <t>2003/10/05</t>
  </si>
  <si>
    <t>2061/03/14</t>
  </si>
  <si>
    <t>2004/06/28</t>
  </si>
  <si>
    <t>2060/12/15</t>
  </si>
  <si>
    <t>2004/03/28</t>
  </si>
  <si>
    <t>2061/10/07</t>
  </si>
  <si>
    <t>2005/01/20</t>
  </si>
  <si>
    <t>2060/11/06</t>
  </si>
  <si>
    <t>2004/02/18</t>
  </si>
  <si>
    <t>2059/10/02</t>
  </si>
  <si>
    <t>2003/01/16</t>
  </si>
  <si>
    <t>2061/03/31</t>
  </si>
  <si>
    <t>2004/07/15</t>
  </si>
  <si>
    <t>2059/12/21</t>
  </si>
  <si>
    <t>2003/04/04</t>
  </si>
  <si>
    <t>2059/09/10</t>
  </si>
  <si>
    <t>2002/12/25</t>
  </si>
  <si>
    <t>2060/07/23</t>
  </si>
  <si>
    <t>2003/11/09</t>
  </si>
  <si>
    <t>2060/03/19</t>
  </si>
  <si>
    <t>2003/07/03</t>
  </si>
  <si>
    <t>2059/04/02</t>
  </si>
  <si>
    <t>2002/07/18</t>
  </si>
  <si>
    <t>2060/09/22</t>
  </si>
  <si>
    <t>2004/01/06</t>
  </si>
  <si>
    <t>2062/03/12</t>
  </si>
  <si>
    <t>2005/06/26</t>
  </si>
  <si>
    <t>2060/01/18</t>
  </si>
  <si>
    <t>2003/05/01</t>
  </si>
  <si>
    <t>2062/10/01</t>
  </si>
  <si>
    <t>2006/01/14</t>
  </si>
  <si>
    <t>2061/10/02</t>
  </si>
  <si>
    <t>2005/01/15</t>
  </si>
  <si>
    <t>2058/09/17</t>
  </si>
  <si>
    <t>2002/01/01</t>
  </si>
  <si>
    <t>2005/01/30</t>
  </si>
  <si>
    <t>2059/09/12</t>
  </si>
  <si>
    <t>2002/12/27</t>
  </si>
  <si>
    <t>2003/02/08</t>
  </si>
  <si>
    <t>2061/01/03</t>
  </si>
  <si>
    <t>2004/04/15</t>
  </si>
  <si>
    <t>2062/12/25</t>
  </si>
  <si>
    <t>2006/04/07</t>
  </si>
  <si>
    <t>2061/01/26</t>
  </si>
  <si>
    <t>2004/05/08</t>
  </si>
  <si>
    <t>2061/08/09</t>
  </si>
  <si>
    <t>2004/11/24</t>
  </si>
  <si>
    <t>2060/03/28</t>
  </si>
  <si>
    <t>2003/07/12</t>
  </si>
  <si>
    <t>2060/11/23</t>
  </si>
  <si>
    <t>2004/03/06</t>
  </si>
  <si>
    <t>2062/01/30</t>
  </si>
  <si>
    <t>2005/05/13</t>
  </si>
  <si>
    <t>2004/08/31</t>
  </si>
  <si>
    <t>2061/03/09</t>
  </si>
  <si>
    <t>2004/06/23</t>
  </si>
  <si>
    <t>2059/12/27</t>
  </si>
  <si>
    <t>2003/04/10</t>
  </si>
  <si>
    <t>2059/05/19</t>
  </si>
  <si>
    <t>2002/09/04</t>
  </si>
  <si>
    <t>2060/03/22</t>
  </si>
  <si>
    <t>2003/07/06</t>
  </si>
  <si>
    <t>2001/11/30</t>
  </si>
  <si>
    <t>2060/03/12</t>
  </si>
  <si>
    <t>2003/06/26</t>
  </si>
  <si>
    <t>2060/06/28</t>
  </si>
  <si>
    <t>2003/10/15</t>
  </si>
  <si>
    <t>2059/06/09</t>
  </si>
  <si>
    <t>2002/09/25</t>
  </si>
  <si>
    <t>2003/12/09</t>
  </si>
  <si>
    <t>2058/05/07</t>
  </si>
  <si>
    <t>2001/08/23</t>
  </si>
  <si>
    <t>2061/12/05</t>
  </si>
  <si>
    <t>2005/03/18</t>
  </si>
  <si>
    <t>2060/10/21</t>
  </si>
  <si>
    <t>2004/02/04</t>
  </si>
  <si>
    <t>2061/03/22</t>
  </si>
  <si>
    <t>2004/07/06</t>
  </si>
  <si>
    <t>2060/08/23</t>
  </si>
  <si>
    <t>2061/11/01</t>
  </si>
  <si>
    <t>2005/02/12</t>
  </si>
  <si>
    <t>2060/01/11</t>
  </si>
  <si>
    <t>2003/04/24</t>
  </si>
  <si>
    <t>Dipesh Raj Yadav</t>
  </si>
  <si>
    <t>Sista Niraula</t>
  </si>
  <si>
    <t>Sabita Ramtel</t>
  </si>
  <si>
    <t>Sandesh Paudel</t>
  </si>
  <si>
    <t>Sudeep Adhikari</t>
  </si>
  <si>
    <t>Kashis Khadka</t>
  </si>
  <si>
    <t>Kyash Dhakal</t>
  </si>
  <si>
    <t>Bisestha Bohara</t>
  </si>
  <si>
    <t>Sushan Budha Magar</t>
  </si>
  <si>
    <t>AAYUSH SHAHI</t>
  </si>
  <si>
    <t>ALEX LAMA</t>
  </si>
  <si>
    <t>DIBINA SHRESTHA</t>
  </si>
  <si>
    <t>GITISHA MOKTAN</t>
  </si>
  <si>
    <t>KRITI PAUDEL</t>
  </si>
  <si>
    <t>MILAN BHOLAN</t>
  </si>
  <si>
    <t>PRAPTI  PRADHAN</t>
  </si>
  <si>
    <t>PUJA BUDHATHOKI</t>
  </si>
  <si>
    <t>RACHANA BUDHATHOKI</t>
  </si>
  <si>
    <t>RIMA GHALE</t>
  </si>
  <si>
    <t>ROHIT BOGATI</t>
  </si>
  <si>
    <t>SANAM THAPA</t>
  </si>
  <si>
    <t>SANKET PAUDEL</t>
  </si>
  <si>
    <t>SHRADDHA LAMA</t>
  </si>
  <si>
    <t>SUJA GURUNG</t>
  </si>
  <si>
    <t>ONGCHHEN SHERPA</t>
  </si>
  <si>
    <t>PALISTHA MAHARJAN</t>
  </si>
  <si>
    <t>PURNIMA REGMI</t>
  </si>
  <si>
    <t>REJINA PAUDEL</t>
  </si>
  <si>
    <t>SANGAM GURUNG</t>
  </si>
  <si>
    <t>SAUREKHA RAI</t>
  </si>
  <si>
    <t>SUSANA THOKAR</t>
  </si>
  <si>
    <t>AAYUSHA REGMI</t>
  </si>
  <si>
    <t>AAYUSHMA PHUYAL</t>
  </si>
  <si>
    <t>ARADHANA BASNET</t>
  </si>
  <si>
    <t>ARATI BASNET</t>
  </si>
  <si>
    <t>ASBIN NEUPANE</t>
  </si>
  <si>
    <t>HIMANI MALLA</t>
  </si>
  <si>
    <t>KREEPA SHRESTHA</t>
  </si>
  <si>
    <t>KRIPA BOGATI</t>
  </si>
  <si>
    <t>KUMUDA PRADHAN</t>
  </si>
  <si>
    <t>MANOJ SHRESTHA</t>
  </si>
  <si>
    <t>MANPREET KAUR</t>
  </si>
  <si>
    <t>PRASHANT NEPALI</t>
  </si>
  <si>
    <t>SALINA KARKI</t>
  </si>
  <si>
    <t>SUNITA BK</t>
  </si>
  <si>
    <t>MS_IN(25)</t>
  </si>
  <si>
    <t>3/32/2063</t>
  </si>
  <si>
    <t>2004-5-19</t>
  </si>
  <si>
    <t>2004-2-19</t>
  </si>
  <si>
    <t>2005-4-12</t>
  </si>
  <si>
    <t>2006-5-8</t>
  </si>
  <si>
    <t>2005-6-5</t>
  </si>
  <si>
    <t>2004-3-2</t>
  </si>
  <si>
    <t>2005-10-27</t>
  </si>
  <si>
    <t>2005-2-25</t>
  </si>
  <si>
    <t>2005-4-15</t>
  </si>
  <si>
    <t>2006-8-22</t>
  </si>
  <si>
    <t>2006-8-15</t>
  </si>
  <si>
    <t>2005-4-16</t>
  </si>
  <si>
    <t>2006-3-16</t>
  </si>
  <si>
    <t>2003-7-2</t>
  </si>
  <si>
    <t>2005-12-8</t>
  </si>
  <si>
    <t>2005-12-27</t>
  </si>
  <si>
    <t>2005-9-14</t>
  </si>
  <si>
    <t>2005-2-23</t>
  </si>
  <si>
    <t>2003-2-23</t>
  </si>
  <si>
    <t>2003-3-4</t>
  </si>
  <si>
    <t>2006-6-2</t>
  </si>
  <si>
    <t>2006-5-3</t>
  </si>
  <si>
    <t>2007-3-6</t>
  </si>
  <si>
    <t>2007-1-29</t>
  </si>
  <si>
    <t>2004-1-3</t>
  </si>
  <si>
    <t>2005-3-25</t>
  </si>
  <si>
    <t>2006-11-11</t>
  </si>
  <si>
    <t>2005-4-29</t>
  </si>
  <si>
    <t>2006-07-16</t>
  </si>
  <si>
    <t>2005-3-9</t>
  </si>
  <si>
    <t>2005-5-9</t>
  </si>
  <si>
    <t>2003-11-6</t>
  </si>
  <si>
    <t>2005-12-10</t>
  </si>
  <si>
    <t>2006-1-6</t>
  </si>
  <si>
    <t>2004-7-22</t>
  </si>
  <si>
    <t>2061-02-06</t>
  </si>
  <si>
    <t>2060-11-07</t>
  </si>
  <si>
    <t>2061-12-30</t>
  </si>
  <si>
    <t>2063-01-25</t>
  </si>
  <si>
    <t>2062-02-23</t>
  </si>
  <si>
    <t>2060-11-19</t>
  </si>
  <si>
    <t>2062-07-10</t>
  </si>
  <si>
    <t>2061-11-14</t>
  </si>
  <si>
    <t>2062-01-02</t>
  </si>
  <si>
    <t>2063-05-06</t>
  </si>
  <si>
    <t>2063-04-30</t>
  </si>
  <si>
    <t>2062-01-03</t>
  </si>
  <si>
    <t>2062-12-03</t>
  </si>
  <si>
    <t>2060-03-18</t>
  </si>
  <si>
    <t>2062-08-23</t>
  </si>
  <si>
    <t>2062-09-12</t>
  </si>
  <si>
    <t>2062-05-29</t>
  </si>
  <si>
    <t>2061-11-12</t>
  </si>
  <si>
    <t>2059-11-11</t>
  </si>
  <si>
    <t>2059-11-20</t>
  </si>
  <si>
    <t>2063-02-19</t>
  </si>
  <si>
    <t>2063-01-20</t>
  </si>
  <si>
    <t>2063-11-22</t>
  </si>
  <si>
    <t>2063-10-15</t>
  </si>
  <si>
    <t>2060-09-19</t>
  </si>
  <si>
    <t>2061-12-12</t>
  </si>
  <si>
    <t>2063-07-25</t>
  </si>
  <si>
    <t>2062-01-16</t>
  </si>
  <si>
    <t>2061-11-26</t>
  </si>
  <si>
    <t>2062-01-26</t>
  </si>
  <si>
    <t>2060-07-20</t>
  </si>
  <si>
    <t>2062-08-25</t>
  </si>
  <si>
    <t>2062-09-22</t>
  </si>
  <si>
    <t>2061-04-07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</si>
</sst>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0" fillId="0" borderId="1" xfId="0" applyNumberFormat="1" applyBorder="1"/>
    <xf numFmtId="14" fontId="0" fillId="0" borderId="1" xfId="0" applyNumberFormat="1" applyBorder="1"/>
    <xf numFmtId="1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/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rk\AppData\Roaming\Microsoft\AddIns\Sajan.Nepali.Functions.V7.8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ajan.Nepali.Functions.V7.8"/>
    </sheetNames>
    <definedNames>
      <definedName name="BS2AD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9EBB-BF95-4EC2-A4A6-FC350581292B}">
  <dimension ref="A1:BD77"/>
  <sheetViews>
    <sheetView tabSelected="1" zoomScale="89" zoomScaleNormal="89" workbookViewId="0">
      <pane xSplit="5" ySplit="1" topLeftCell="K2" activePane="bottomRight" state="frozen"/>
      <selection pane="topRight" activeCell="G1" sqref="G1"/>
      <selection pane="bottomLeft" activeCell="A2" sqref="A2"/>
      <selection pane="bottomRight" activeCell="U8" sqref="U8"/>
    </sheetView>
  </sheetViews>
  <sheetFormatPr defaultRowHeight="18.75" x14ac:dyDescent="0.25"/>
  <cols>
    <col min="1" max="1" width="6.42578125" style="6" bestFit="1" customWidth="1"/>
    <col min="2" max="2" width="22.42578125" style="8" bestFit="1" customWidth="1"/>
    <col min="3" max="3" width="14" style="6" bestFit="1" customWidth="1"/>
    <col min="4" max="4" width="33.140625" style="6" bestFit="1" customWidth="1"/>
    <col min="5" max="5" width="12" style="6" bestFit="1" customWidth="1"/>
    <col min="6" max="6" width="14.5703125" style="6" bestFit="1" customWidth="1"/>
    <col min="7" max="7" width="13" style="6" bestFit="1" customWidth="1"/>
    <col min="8" max="8" width="11.140625" style="6" bestFit="1" customWidth="1"/>
    <col min="9" max="9" width="10.85546875" style="6" bestFit="1" customWidth="1"/>
    <col min="10" max="10" width="9.7109375" style="6" bestFit="1" customWidth="1"/>
    <col min="11" max="11" width="10.7109375" style="6" bestFit="1" customWidth="1"/>
    <col min="12" max="12" width="10.5703125" style="6" bestFit="1" customWidth="1"/>
    <col min="13" max="13" width="9.42578125" style="6" bestFit="1" customWidth="1"/>
    <col min="14" max="14" width="11.85546875" style="6" bestFit="1" customWidth="1"/>
    <col min="15" max="15" width="11.7109375" style="6" bestFit="1" customWidth="1"/>
    <col min="16" max="16" width="10.7109375" style="6" bestFit="1" customWidth="1"/>
    <col min="17" max="17" width="11.42578125" style="6" bestFit="1" customWidth="1"/>
    <col min="18" max="19" width="10.28515625" style="6" bestFit="1" customWidth="1"/>
    <col min="20" max="20" width="11.140625" style="6" bestFit="1" customWidth="1"/>
    <col min="21" max="21" width="10" style="6" bestFit="1" customWidth="1"/>
    <col min="22" max="22" width="12.42578125" style="6" bestFit="1" customWidth="1"/>
    <col min="23" max="23" width="12.28515625" style="6" bestFit="1" customWidth="1"/>
    <col min="24" max="24" width="11.28515625" style="6" bestFit="1" customWidth="1"/>
    <col min="25" max="25" width="11" style="6" bestFit="1" customWidth="1"/>
    <col min="26" max="26" width="9.85546875" style="6" bestFit="1" customWidth="1"/>
    <col min="27" max="27" width="10" style="6" bestFit="1" customWidth="1"/>
    <col min="28" max="28" width="10.7109375" style="6" bestFit="1" customWidth="1"/>
    <col min="29" max="29" width="9.5703125" style="6" bestFit="1" customWidth="1"/>
    <col min="30" max="30" width="12" style="6" bestFit="1" customWidth="1"/>
    <col min="31" max="31" width="11.5703125" style="6" bestFit="1" customWidth="1"/>
    <col min="32" max="32" width="13.7109375" style="6" bestFit="1" customWidth="1"/>
    <col min="33" max="33" width="12.85546875" style="6" bestFit="1" customWidth="1"/>
    <col min="34" max="34" width="11.7109375" style="6" bestFit="1" customWidth="1"/>
    <col min="35" max="35" width="13.5703125" style="6" bestFit="1" customWidth="1"/>
    <col min="36" max="36" width="12.5703125" style="6" bestFit="1" customWidth="1"/>
    <col min="37" max="37" width="11.42578125" style="6" bestFit="1" customWidth="1"/>
    <col min="38" max="38" width="14" style="6" bestFit="1" customWidth="1"/>
    <col min="39" max="39" width="13.85546875" style="6" bestFit="1" customWidth="1"/>
    <col min="40" max="40" width="9.42578125" style="6" bestFit="1" customWidth="1"/>
    <col min="41" max="47" width="9.42578125" style="6" customWidth="1"/>
    <col min="48" max="48" width="11.42578125" style="6" bestFit="1" customWidth="1"/>
    <col min="49" max="49" width="11.42578125" style="6" customWidth="1"/>
    <col min="50" max="50" width="16.85546875" style="6" bestFit="1" customWidth="1"/>
    <col min="51" max="51" width="18.7109375" style="6" bestFit="1" customWidth="1"/>
    <col min="52" max="52" width="18" style="6" bestFit="1" customWidth="1"/>
    <col min="53" max="55" width="11.42578125" style="6" customWidth="1"/>
    <col min="56" max="16384" width="9.140625" style="6"/>
  </cols>
  <sheetData>
    <row r="1" spans="1:56" x14ac:dyDescent="0.25">
      <c r="A1" s="2" t="s">
        <v>0</v>
      </c>
      <c r="B1" s="1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300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56" x14ac:dyDescent="0.3">
      <c r="A2" s="2">
        <v>1</v>
      </c>
      <c r="B2" s="16">
        <v>793270280003</v>
      </c>
      <c r="C2" s="17">
        <v>12706854</v>
      </c>
      <c r="D2" s="3" t="s">
        <v>264</v>
      </c>
      <c r="E2" s="7" t="s">
        <v>56</v>
      </c>
      <c r="F2" s="20" t="s">
        <v>337</v>
      </c>
      <c r="G2" s="3" t="s">
        <v>302</v>
      </c>
      <c r="H2" s="7">
        <v>51</v>
      </c>
      <c r="I2" s="7" cm="1">
        <f t="array" ref="I2">_xlfn.IFS(H2/75*100&gt;=90,4,H2/75*100&gt;=80,3.6,H2/75*100&gt;=70,3.2,H2/75*100&gt;=60,2.8,H2/75*100&gt;=50,2.4,H2/75*100&gt;=40,2,H2/75*100&gt;=35,1.6,TRUE, 0)</f>
        <v>2.8</v>
      </c>
      <c r="J2" s="7" t="str" cm="1">
        <f t="array" ref="J2">_xlfn.IFS(I2=4,"A+",I2=3.6,"A",I2=3.2,"B+",I2=2.8,"B",I2=2.4,"C+",I2=2,"C",I2=1.6,"D",TRUE,"NG")</f>
        <v>B</v>
      </c>
      <c r="K2" s="7" cm="1">
        <f t="array" ref="K2">_xlfn.IFS(H2&gt;=70,25,H2&gt;=60,24,H2&gt;=50,23,H2&gt;=40,22,H2&gt;=30,21,TRUE,20)</f>
        <v>23</v>
      </c>
      <c r="L2" s="7" cm="1">
        <f t="array" ref="L2">_xlfn.IFS(K2/25*100&gt;=90,4,K2/25*100&gt;=80,3.6,K2/25*100&gt;=70,3.2,K2/25*100&gt;=60,2.8,K2/25*100&gt;=50,2.4,K2/25*100&gt;=40,2,K2/25*100&gt;=35,1.6,TRUE, 0)</f>
        <v>4</v>
      </c>
      <c r="M2" s="7" t="str" cm="1">
        <f t="array" ref="M2">_xlfn.IFS(L2=4,"A+",L2=3.6,"A",L2=3.2,"B+",L2=2.8,"B",L2=2.4,"C+",L2=2,"C",L2=1.6,"D",TRUE,"NG")</f>
        <v>A+</v>
      </c>
      <c r="N2" s="7">
        <f>(I2*3+L2*1)/4</f>
        <v>3.0999999999999996</v>
      </c>
      <c r="O2" s="7" t="str" cm="1">
        <f t="array" ref="O2">_xlfn.IFS(AND(N2&lt;=4,N2&gt;3.6),"A+",AND(N2&lt;=3.6,N2&gt;3.2),"A",AND(N2&lt;=3.2,N2&gt;2.8),"B+",AND(N2&lt;=2.8,N2&gt;2.4),"B",AND(N2&lt;=2.4,N2&gt;2),"C+",AND(N2&lt;=2,N2&gt;1.6),"C",N2=1.6,"D",TRUE,"NG")</f>
        <v>B+</v>
      </c>
      <c r="P2" s="7">
        <v>0</v>
      </c>
      <c r="Q2" s="7" cm="1">
        <f t="array" ref="Q2">_xlfn.IFS(P2/75*100&gt;=90,4,P2/75*100&gt;=80,3.6,P2/75*100&gt;=70,3.2,P2/75*100&gt;=60,2.8,P2/75*100&gt;=50,2.4,P2/75*100&gt;=40,2,P2/75*100&gt;=35,1.6,TRUE, 0)</f>
        <v>0</v>
      </c>
      <c r="R2" s="7" t="str" cm="1">
        <f t="array" ref="R2">_xlfn.IFS(Q2=4,"A+",Q2=3.6,"A",Q2=3.2,"B+",Q2=2.8,"B",Q2=2.4,"C+",Q2=2,"C",Q2=1.6,"D",TRUE,"NG")</f>
        <v>NG</v>
      </c>
      <c r="S2" s="7" cm="1">
        <f t="array" ref="S2">_xlfn.IFS(P2&gt;=70,25,P2&gt;=60,24,P2&gt;=50,23,P2&gt;=40,22,P2&gt;=30,21,TRUE,20)</f>
        <v>20</v>
      </c>
      <c r="T2" s="7" cm="1">
        <f t="array" ref="T2">_xlfn.IFS(S2/25*100&gt;=90,4,S2/25*100&gt;=80,3.6,S2/25*100&gt;=70,3.2,S2/25*100&gt;=60,2.8,S2/25*100&gt;=50,2.4,S2/25*100&gt;=40,2,S2/25*100&gt;=35,1.6,TRUE, 0)</f>
        <v>3.6</v>
      </c>
      <c r="U2" s="7" t="str" cm="1">
        <f t="array" ref="U2">_xlfn.IFS(T2=4,"A+",T2=3.6,"A",T2=3.2,"B+",T2=2.8,"B",T2=2.4,"C+",T2=2,"C",T2=1.6,"D",TRUE,"NG")</f>
        <v>A</v>
      </c>
      <c r="V2" s="7">
        <f>(Q2*2.25+T2*0.75)/3</f>
        <v>0.9</v>
      </c>
      <c r="W2" s="7" t="str" cm="1">
        <f t="array" ref="W2">_xlfn.IFS(AND(V2&lt;=4,V2&gt;3.6),"A+",AND(V2&lt;=3.6,V2&gt;3.2),"A",AND(V2&lt;=3.2,V2&gt;2.8),"B+",AND(V2&lt;=2.8,V2&gt;2.4),"B",AND(V2&lt;=2.4,V2&gt;2),"C+",AND(V2&lt;=2,V2&gt;1.6),"C",V2=1.6,"D",TRUE,"NG")</f>
        <v>NG</v>
      </c>
      <c r="X2" s="7">
        <v>0</v>
      </c>
      <c r="Y2" s="7" cm="1">
        <f t="array" ref="Y2">_xlfn.IFS(X2/75*100&gt;=90,4,X2/75*100&gt;=80,3.6,X2/75*100&gt;=70,3.2,X2/75*100&gt;=60,2.8,X2/75*100&gt;=50,2.4,X2/75*100&gt;=40,2,X2/75*100&gt;=35,1.6,TRUE, 0)</f>
        <v>0</v>
      </c>
      <c r="Z2" s="7" t="str" cm="1">
        <f t="array" ref="Z2">_xlfn.IFS(Y2=4,"A+",Y2=3.6,"A",Y2=3.2,"B+",Y2=2.8,"B",Y2=2.4,"C+",Y2=2,"C",Y2=1.6,"D",TRUE,"NG")</f>
        <v>NG</v>
      </c>
      <c r="AA2" s="7" cm="1">
        <f t="array" ref="AA2">_xlfn.IFS(X2&gt;=70,25,X2&gt;=60,24,X2&gt;=50,23,X2&gt;=40,22,X2&gt;=30,21,TRUE,20)</f>
        <v>20</v>
      </c>
      <c r="AB2" s="7" cm="1">
        <f t="array" ref="AB2">_xlfn.IFS(AA2/25*100&gt;=90,4,AA2/25*100&gt;=80,3.6,AA2/25*100&gt;=70,3.2,AA2/25*100&gt;=60,2.8,AA2/25*100&gt;=50,2.4,AA2/25*100&gt;=40,2,AA2/25*100&gt;=35,1.6,TRUE, 0)</f>
        <v>3.6</v>
      </c>
      <c r="AC2" s="7" t="str" cm="1">
        <f t="array" ref="AC2">_xlfn.IFS(AB2=4,"A+",AB2=3.6,"A",AB2=3.2,"B+",AB2=2.8,"B",AB2=2.4,"C+",AB2=2,"C",AB2=1.6,"D",TRUE,"NG")</f>
        <v>A</v>
      </c>
      <c r="AD2" s="7">
        <f>(Y2*3.75+AB2*1.25)/5</f>
        <v>0.9</v>
      </c>
      <c r="AE2" s="7" t="str" cm="1">
        <f t="array" ref="AE2">_xlfn.IFS(AND(AD2&lt;=4,AD2&gt;3.6),"A+",AND(AD2&lt;=3.6,AD2&gt;3.2),"A",AND(AD2&lt;=3.2,AD2&gt;2.8),"B+",AND(AD2&lt;=2.8,AD2&gt;2.4),"B",AND(AD2&lt;=2.4,AD2&gt;2),"C+",AND(AD2&lt;=2,AD2&gt;1.6),"C",AD2=1.6,"D",TRUE,"NG")</f>
        <v>NG</v>
      </c>
      <c r="AF2" s="7">
        <v>0</v>
      </c>
      <c r="AG2" s="7" cm="1">
        <f t="array" ref="AG2">_xlfn.IFS(AF2/75*100&gt;=90,4,AF2/75*100&gt;=80,3.6,AF2/75*100&gt;=70,3.2,AF2/75*100&gt;=60,2.8,AF2/75*100&gt;=50,2.4,AF2/75*100&gt;=40,2,AF2/75*100&gt;=35,1.6,TRUE, 0)</f>
        <v>0</v>
      </c>
      <c r="AH2" s="7" t="str" cm="1">
        <f t="array" ref="AH2">_xlfn.IFS(AG2=4,"A+",AG2=3.6,"A",AG2=3.2,"B+",AG2=2.8,"B",AG2=2.4,"C+",AG2=2,"C",AG2=1.6,"D",TRUE,"NG")</f>
        <v>NG</v>
      </c>
      <c r="AI2" s="7" cm="1">
        <f t="array" ref="AI2">_xlfn.IFS(AF2&gt;=70,25,AF2&gt;=60,24,AF2&gt;=50,23,AF2&gt;=40,22,AF2&gt;=30,21,TRUE,20)</f>
        <v>20</v>
      </c>
      <c r="AJ2" s="7" cm="1">
        <f t="array" ref="AJ2">_xlfn.IFS(AI2/25*100&gt;=90,4,AI2/25*100&gt;=80,3.6,AI2/25*100&gt;=70,3.2,AI2/25*100&gt;=60,2.8,AI2/25*100&gt;=50,2.4,AI2/25*100&gt;=40,2,AI2/25*100&gt;=35,1.6,TRUE, 0)</f>
        <v>3.6</v>
      </c>
      <c r="AK2" s="7" t="str" cm="1">
        <f t="array" ref="AK2">_xlfn.IFS(AJ2=4,"A+",AJ2=3.6,"A",AJ2=3.2,"B+",AJ2=2.8,"B",AJ2=2.4,"C+",AJ2=2,"C",AJ2=1.6,"D",TRUE,"NG")</f>
        <v>A</v>
      </c>
      <c r="AL2" s="7">
        <f>(AG2*3.75+AJ2*1.25)/5</f>
        <v>0.9</v>
      </c>
      <c r="AM2" s="7" t="str" cm="1">
        <f t="array" ref="AM2">_xlfn.IFS(AND(AL2&lt;=4,AL2&gt;3.6),"A+",AND(AL2&lt;=3.6,AL2&gt;3.2),"A",AND(AL2&lt;=3.2,AL2&gt;2.8),"B+",AND(AL2&lt;=2.8,AL2&gt;2.4),"B",AND(AL2&lt;=2.4,AL2&gt;2),"C+",AND(AL2&lt;=2,AL2&gt;1.6),"C",AL2=1.6,"D",TRUE,"NG")</f>
        <v>NG</v>
      </c>
      <c r="AN2" s="7">
        <v>0</v>
      </c>
      <c r="AO2" s="7" cm="1">
        <f t="array" ref="AO2">_xlfn.IFS(AN2/75*100&gt;=90,4,AN2/75*100&gt;=80,3.6,AN2/75*100&gt;=70,3.2,AN2/75*100&gt;=60,2.8,AN2/75*100&gt;=50,2.4,AN2/75*100&gt;=40,2,AN2/75*100&gt;=35,1.6,TRUE, 0)</f>
        <v>0</v>
      </c>
      <c r="AP2" s="7" t="str" cm="1">
        <f t="array" ref="AP2">_xlfn.IFS(AO2=4,"A+",AO2=3.6,"A",AO2=3.2,"B+",AO2=2.8,"B",AO2=2.4,"C+",AO2=2,"C",AO2=1.6,"D",TRUE,"NG")</f>
        <v>NG</v>
      </c>
      <c r="AQ2" s="7" cm="1">
        <f t="array" ref="AQ2">_xlfn.IFS(AN2&gt;=70,25,AN2&gt;=60,24,AN2&gt;=50,23,AN2&gt;=40,22,AN2&gt;=30,21,TRUE,20)</f>
        <v>20</v>
      </c>
      <c r="AR2" s="7" cm="1">
        <f t="array" ref="AR2">_xlfn.IFS(AQ2/25*100&gt;=90,4,AQ2/25*100&gt;=80,3.6,AQ2/25*100&gt;=70,3.2,AQ2/25*100&gt;=60,2.8,AQ2/25*100&gt;=50,2.4,AQ2/25*100&gt;=40,2,AQ2/25*100&gt;=35,1.6,TRUE, 0)</f>
        <v>3.6</v>
      </c>
      <c r="AS2" s="7" t="str" cm="1">
        <f t="array" ref="AS2">_xlfn.IFS(AR2=4,"A+",AR2=3.6,"A",AR2=3.2,"B+",AR2=2.8,"B",AR2=2.4,"C+",AR2=2,"C",AR2=1.6,"D",TRUE,"NG")</f>
        <v>A</v>
      </c>
      <c r="AT2" s="7">
        <f>(AO2*3.75+AR2*1.25)/5</f>
        <v>0.9</v>
      </c>
      <c r="AU2" s="7" t="str" cm="1">
        <f t="array" ref="AU2">_xlfn.IFS(AND(AT2&lt;=4,AT2&gt;3.6),"A+",AND(AT2&lt;=3.6,AT2&gt;3.2),"A",AND(AT2&lt;=3.2,AT2&gt;2.8),"B+",AND(AT2&lt;=2.8,AT2&gt;2.4),"B",AND(AT2&lt;=2.4,AT2&gt;2),"C+",AND(AT2&lt;=2,AT2&gt;1.6),"C",AT2=1.6,"D",TRUE,"NG")</f>
        <v>NG</v>
      </c>
      <c r="AV2" s="7">
        <v>0</v>
      </c>
      <c r="AW2" s="7" cm="1">
        <f t="array" ref="AW2">IF(E2="BS",(_xlfn.IFS(AV2/75*100&gt;=90,4,AV2/75*100&gt;=80,3.6,AV2/75*100&gt;=70,3.2,AV2/75*100&gt;=60,2.8,AV2/75*100&gt;=50,2.4,AV2/75*100&gt;=40,2,AV2/75*100&gt;=35,1.6,TRUE, 0)),(_xlfn.IFS(AV2/50*100&gt;=90,4,AV2/50*100&gt;=80,3.6,AV2/50*100&gt;=70,3.2,AV2/50*100&gt;=60,2.8,AV2/50*100&gt;=50,2.4,AV2/50*100&gt;=40,2,AV2/50*100&gt;=35,1.6,TRUE, 0)))</f>
        <v>0</v>
      </c>
      <c r="AX2" s="7" t="str" cm="1">
        <f t="array" ref="AX2">_xlfn.IFS(AW2="-","-",AW2=4,"A+",AW2=3.6,"A",AW2=3.2,"B+",AW2=2.8,"B",AW2=2.4,"C+",AW2=2,"C",AW2=1.6,"D",TRUE,"NG")</f>
        <v>NG</v>
      </c>
      <c r="AY2" s="7" cm="1">
        <f t="array" ref="AY2">IF(E2="BS",(_xlfn.IFS(AV2&gt;=70,25,AV2&gt;=60,24,AV2&gt;=50,23,AV2&gt;=40,22,AV2&gt;=30,21,TRUE,20)),(_xlfn.IFS(AV2&gt;=45,48,AV2&gt;=40,46,AV2&gt;=35,44,AV2&gt;=30,40,AV2&gt;=25,38,TRUE,20)))</f>
        <v>20</v>
      </c>
      <c r="AZ2" s="7" cm="1">
        <f t="array" ref="AZ2">IF(E2="BS",(_xlfn.IFS(AY2/25*100&gt;=90,4,AY2/25*100&gt;=80,3.6,AY2/25*100&gt;=70,3.2,AY2/25*100&gt;=60,2.8,AY2/25*100&gt;=50,2.4,AY2/25*100&gt;=40,2,AY2/25*100&gt;=35,1.6,TRUE, 0)),(_xlfn.IFS(AY2/50*100&gt;=90,4,AY2/50*100&gt;=80,3.6,AY2/50*100&gt;=70,3.2,AY2/50*100&gt;=60,2.8,AY2/50*100&gt;=50,2.4,AY2/50*100&gt;=40,2,AY2/50*100&gt;=35,1.6,TRUE, 0)))</f>
        <v>3.6</v>
      </c>
      <c r="BA2" s="7" t="str" cm="1">
        <f t="array" ref="BA2">_xlfn.IFS(AZ2="-","-",AZ2=4,"A+",AZ2=3.6,"A",AZ2=3.2,"B+",AZ2=2.8,"B",AZ2=2.4,"C+",AZ2=2,"C",AZ2=1.6,"D",TRUE,"NG")</f>
        <v>A</v>
      </c>
      <c r="BB2" s="7">
        <f>IF(E2="BS",(AW2*3.75+AZ2*1.25)/5,(AW2*2.5+AZ2*2.5)/5)</f>
        <v>0.9</v>
      </c>
      <c r="BC2" s="7" t="str" cm="1">
        <f t="array" ref="BC2">_xlfn.IFS(BB2="-","-",AND(BB2&lt;=4,BB2&gt;3.6),"A+",AND(BB2&lt;=3.6,BB2&gt;3.2),"A",AND(BB2&lt;=3.2,BB2&gt;2.8),"B+",AND(BB2&lt;=2.8,BB2&gt;2.4),"B",AND(BB2&lt;=2.4,BB2&gt;2),"C+",AND(BB2&lt;=2,BB2&gt;1.6),"C",BB2=1.6,"D",TRUE,"NG")</f>
        <v>NG</v>
      </c>
      <c r="BD2" s="12">
        <f>IF(E2="BS",(((I2*3+L2*1)+(Q2*2.25+T2*0.75)+(Y2*3.75+AB2*1.25)+(AG2*3.75+AJ2*1.25)+(AO2*3.75+AR2*1.25)+(AW2*3.75+AZ2*1.25))/(4+3+5*4)),(((I2*3+L2*1)+(Q2*2.25+T2*0.75)+(Y2*3.75+AB2*1.25)+(AG2*3.75+AJ2*1.25)+(AO2*3.75+AR2*1.25)+(AW2*2.5+AZ2*2.5))/(4+3+5*4)))</f>
        <v>1.2259259259259256</v>
      </c>
    </row>
    <row r="3" spans="1:56" x14ac:dyDescent="0.3">
      <c r="A3" s="2">
        <v>2</v>
      </c>
      <c r="B3" s="16">
        <v>793270280009</v>
      </c>
      <c r="C3" s="17">
        <v>12706860</v>
      </c>
      <c r="D3" s="3" t="s">
        <v>265</v>
      </c>
      <c r="E3" s="7" t="s">
        <v>56</v>
      </c>
      <c r="F3" s="20" t="s">
        <v>338</v>
      </c>
      <c r="G3" s="3" t="s">
        <v>303</v>
      </c>
      <c r="H3" s="7">
        <v>36</v>
      </c>
      <c r="I3" s="7" cm="1">
        <f t="array" ref="I3">_xlfn.IFS(H3/75*100&gt;=90,4,H3/75*100&gt;=80,3.6,H3/75*100&gt;=70,3.2,H3/75*100&gt;=60,2.8,H3/75*100&gt;=50,2.4,H3/75*100&gt;=40,2,H3/75*100&gt;=35,1.6,TRUE, 0)</f>
        <v>2</v>
      </c>
      <c r="J3" s="7" t="str" cm="1">
        <f t="array" ref="J3">_xlfn.IFS(I3=4,"A+",I3=3.6,"A",I3=3.2,"B+",I3=2.8,"B",I3=2.4,"C+",I3=2,"C",I3=1.6,"D",TRUE,"NG")</f>
        <v>C</v>
      </c>
      <c r="K3" s="7" cm="1">
        <f t="array" ref="K3">_xlfn.IFS(H3&gt;=70,25,H3&gt;=60,24,H3&gt;=50,23,H3&gt;=40,22,H3&gt;=30,21,TRUE,20)</f>
        <v>21</v>
      </c>
      <c r="L3" s="7" cm="1">
        <f t="array" ref="L3">_xlfn.IFS(K3/25*100&gt;=90,4,K3/25*100&gt;=80,3.6,K3/25*100&gt;=70,3.2,K3/25*100&gt;=60,2.8,K3/25*100&gt;=50,2.4,K3/25*100&gt;=40,2,K3/25*100&gt;=35,1.6,TRUE, 0)</f>
        <v>3.6</v>
      </c>
      <c r="M3" s="7" t="str" cm="1">
        <f t="array" ref="M3">_xlfn.IFS(L3=4,"A+",L3=3.6,"A",L3=3.2,"B+",L3=2.8,"B",L3=2.4,"C+",L3=2,"C",L3=1.6,"D",TRUE,"NG")</f>
        <v>A</v>
      </c>
      <c r="N3" s="7">
        <f t="shared" ref="N3:N30" si="0">(I3*3+L3*1)/4</f>
        <v>2.4</v>
      </c>
      <c r="O3" s="7" t="str" cm="1">
        <f t="array" ref="O3">_xlfn.IFS(AND(N3&lt;=4,N3&gt;3.6),"A+",AND(N3&lt;=3.6,N3&gt;3.2),"A",AND(N3&lt;=3.2,N3&gt;2.8),"B+",AND(N3&lt;=2.8,N3&gt;2.4),"B",AND(N3&lt;=2.4,N3&gt;2),"C+",AND(N3&lt;=2,N3&gt;1.6),"C",N3=1.6,"D",TRUE,"NG")</f>
        <v>C+</v>
      </c>
      <c r="P3" s="7">
        <v>43</v>
      </c>
      <c r="Q3" s="7" cm="1">
        <f t="array" ref="Q3">_xlfn.IFS(P3/75*100&gt;=90,4,P3/75*100&gt;=80,3.6,P3/75*100&gt;=70,3.2,P3/75*100&gt;=60,2.8,P3/75*100&gt;=50,2.4,P3/75*100&gt;=40,2,P3/75*100&gt;=35,1.6,TRUE, 0)</f>
        <v>2.4</v>
      </c>
      <c r="R3" s="7" t="str" cm="1">
        <f t="array" ref="R3">_xlfn.IFS(Q3=4,"A+",Q3=3.6,"A",Q3=3.2,"B+",Q3=2.8,"B",Q3=2.4,"C+",Q3=2,"C",Q3=1.6,"D",TRUE,"NG")</f>
        <v>C+</v>
      </c>
      <c r="S3" s="7" cm="1">
        <f t="array" ref="S3">_xlfn.IFS(P3&gt;=70,25,P3&gt;=60,24,P3&gt;=50,23,P3&gt;=40,22,P3&gt;=30,21,TRUE,20)</f>
        <v>22</v>
      </c>
      <c r="T3" s="7" cm="1">
        <f t="array" ref="T3">_xlfn.IFS(S3/25*100&gt;=90,4,S3/25*100&gt;=80,3.6,S3/25*100&gt;=70,3.2,S3/25*100&gt;=60,2.8,S3/25*100&gt;=50,2.4,S3/25*100&gt;=40,2,S3/25*100&gt;=35,1.6,TRUE, 0)</f>
        <v>3.6</v>
      </c>
      <c r="U3" s="7" t="str" cm="1">
        <f t="array" ref="U3">_xlfn.IFS(T3=4,"A+",T3=3.6,"A",T3=3.2,"B+",T3=2.8,"B",T3=2.4,"C+",T3=2,"C",T3=1.6,"D",TRUE,"NG")</f>
        <v>A</v>
      </c>
      <c r="V3" s="7">
        <f t="shared" ref="V3:V30" si="1">(Q3*2.25+T3*0.75)/3</f>
        <v>2.6999999999999997</v>
      </c>
      <c r="W3" s="7" t="str" cm="1">
        <f t="array" ref="W3">_xlfn.IFS(AND(V3&lt;=4,V3&gt;3.6),"A+",AND(V3&lt;=3.6,V3&gt;3.2),"A",AND(V3&lt;=3.2,V3&gt;2.8),"B+",AND(V3&lt;=2.8,V3&gt;2.4),"B",AND(V3&lt;=2.4,V3&gt;2),"C+",AND(V3&lt;=2,V3&gt;1.6),"C",V3=1.6,"D",TRUE,"NG")</f>
        <v>B</v>
      </c>
      <c r="X3" s="7">
        <v>30</v>
      </c>
      <c r="Y3" s="7" cm="1">
        <f t="array" ref="Y3">_xlfn.IFS(X3/75*100&gt;=90,4,X3/75*100&gt;=80,3.6,X3/75*100&gt;=70,3.2,X3/75*100&gt;=60,2.8,X3/75*100&gt;=50,2.4,X3/75*100&gt;=40,2,X3/75*100&gt;=35,1.6,TRUE, 0)</f>
        <v>2</v>
      </c>
      <c r="Z3" s="7" t="str" cm="1">
        <f t="array" ref="Z3">_xlfn.IFS(Y3=4,"A+",Y3=3.6,"A",Y3=3.2,"B+",Y3=2.8,"B",Y3=2.4,"C+",Y3=2,"C",Y3=1.6,"D",TRUE,"NG")</f>
        <v>C</v>
      </c>
      <c r="AA3" s="7" cm="1">
        <f t="array" ref="AA3">_xlfn.IFS(X3&gt;=70,25,X3&gt;=60,24,X3&gt;=50,23,X3&gt;=40,22,X3&gt;=30,21,TRUE,20)</f>
        <v>21</v>
      </c>
      <c r="AB3" s="7" cm="1">
        <f t="array" ref="AB3">_xlfn.IFS(AA3/25*100&gt;=90,4,AA3/25*100&gt;=80,3.6,AA3/25*100&gt;=70,3.2,AA3/25*100&gt;=60,2.8,AA3/25*100&gt;=50,2.4,AA3/25*100&gt;=40,2,AA3/25*100&gt;=35,1.6,TRUE, 0)</f>
        <v>3.6</v>
      </c>
      <c r="AC3" s="7" t="str" cm="1">
        <f t="array" ref="AC3">_xlfn.IFS(AB3=4,"A+",AB3=3.6,"A",AB3=3.2,"B+",AB3=2.8,"B",AB3=2.4,"C+",AB3=2,"C",AB3=1.6,"D",TRUE,"NG")</f>
        <v>A</v>
      </c>
      <c r="AD3" s="7">
        <f t="shared" ref="AD3:AD30" si="2">(Y3*3.75+AB3*1.25)/5</f>
        <v>2.4</v>
      </c>
      <c r="AE3" s="7" t="str" cm="1">
        <f t="array" ref="AE3">_xlfn.IFS(AND(AD3&lt;=4,AD3&gt;3.6),"A+",AND(AD3&lt;=3.6,AD3&gt;3.2),"A",AND(AD3&lt;=3.2,AD3&gt;2.8),"B+",AND(AD3&lt;=2.8,AD3&gt;2.4),"B",AND(AD3&lt;=2.4,AD3&gt;2),"C+",AND(AD3&lt;=2,AD3&gt;1.6),"C",AD3=1.6,"D",TRUE,"NG")</f>
        <v>C+</v>
      </c>
      <c r="AF3" s="7">
        <v>27</v>
      </c>
      <c r="AG3" s="7" cm="1">
        <f t="array" ref="AG3">_xlfn.IFS(AF3/75*100&gt;=90,4,AF3/75*100&gt;=80,3.6,AF3/75*100&gt;=70,3.2,AF3/75*100&gt;=60,2.8,AF3/75*100&gt;=50,2.4,AF3/75*100&gt;=40,2,AF3/75*100&gt;=35,1.6,TRUE, 0)</f>
        <v>1.6</v>
      </c>
      <c r="AH3" s="7" t="str" cm="1">
        <f t="array" ref="AH3">_xlfn.IFS(AG3=4,"A+",AG3=3.6,"A",AG3=3.2,"B+",AG3=2.8,"B",AG3=2.4,"C+",AG3=2,"C",AG3=1.6,"D",TRUE,"NG")</f>
        <v>D</v>
      </c>
      <c r="AI3" s="7" cm="1">
        <f t="array" ref="AI3">_xlfn.IFS(AF3&gt;=70,25,AF3&gt;=60,24,AF3&gt;=50,23,AF3&gt;=40,22,AF3&gt;=30,21,TRUE,20)</f>
        <v>20</v>
      </c>
      <c r="AJ3" s="7" cm="1">
        <f t="array" ref="AJ3">_xlfn.IFS(AI3/25*100&gt;=90,4,AI3/25*100&gt;=80,3.6,AI3/25*100&gt;=70,3.2,AI3/25*100&gt;=60,2.8,AI3/25*100&gt;=50,2.4,AI3/25*100&gt;=40,2,AI3/25*100&gt;=35,1.6,TRUE, 0)</f>
        <v>3.6</v>
      </c>
      <c r="AK3" s="7" t="str" cm="1">
        <f t="array" ref="AK3">_xlfn.IFS(AJ3=4,"A+",AJ3=3.6,"A",AJ3=3.2,"B+",AJ3=2.8,"B",AJ3=2.4,"C+",AJ3=2,"C",AJ3=1.6,"D",TRUE,"NG")</f>
        <v>A</v>
      </c>
      <c r="AL3" s="7">
        <f t="shared" ref="AL3:AL30" si="3">(AG3*3.75+AJ3*1.25)/5</f>
        <v>2.1</v>
      </c>
      <c r="AM3" s="7" t="str" cm="1">
        <f t="array" ref="AM3">_xlfn.IFS(AND(AL3&lt;=4,AL3&gt;3.6),"A+",AND(AL3&lt;=3.6,AL3&gt;3.2),"A",AND(AL3&lt;=3.2,AL3&gt;2.8),"B+",AND(AL3&lt;=2.8,AL3&gt;2.4),"B",AND(AL3&lt;=2.4,AL3&gt;2),"C+",AND(AL3&lt;=2,AL3&gt;1.6),"C",AL3=1.6,"D",TRUE,"NG")</f>
        <v>C+</v>
      </c>
      <c r="AN3" s="7">
        <v>34</v>
      </c>
      <c r="AO3" s="7" cm="1">
        <f t="array" ref="AO3">_xlfn.IFS(AN3/75*100&gt;=90,4,AN3/75*100&gt;=80,3.6,AN3/75*100&gt;=70,3.2,AN3/75*100&gt;=60,2.8,AN3/75*100&gt;=50,2.4,AN3/75*100&gt;=40,2,AN3/75*100&gt;=35,1.6,TRUE, 0)</f>
        <v>2</v>
      </c>
      <c r="AP3" s="7" t="str" cm="1">
        <f t="array" ref="AP3">_xlfn.IFS(AO3=4,"A+",AO3=3.6,"A",AO3=3.2,"B+",AO3=2.8,"B",AO3=2.4,"C+",AO3=2,"C",AO3=1.6,"D",TRUE,"NG")</f>
        <v>C</v>
      </c>
      <c r="AQ3" s="7" cm="1">
        <f t="array" ref="AQ3">_xlfn.IFS(AN3&gt;=70,25,AN3&gt;=60,24,AN3&gt;=50,23,AN3&gt;=40,22,AN3&gt;=30,21,TRUE,20)</f>
        <v>21</v>
      </c>
      <c r="AR3" s="7" cm="1">
        <f t="array" ref="AR3">_xlfn.IFS(AQ3/25*100&gt;=90,4,AQ3/25*100&gt;=80,3.6,AQ3/25*100&gt;=70,3.2,AQ3/25*100&gt;=60,2.8,AQ3/25*100&gt;=50,2.4,AQ3/25*100&gt;=40,2,AQ3/25*100&gt;=35,1.6,TRUE, 0)</f>
        <v>3.6</v>
      </c>
      <c r="AS3" s="7" t="str" cm="1">
        <f t="array" ref="AS3">_xlfn.IFS(AR3=4,"A+",AR3=3.6,"A",AR3=3.2,"B+",AR3=2.8,"B",AR3=2.4,"C+",AR3=2,"C",AR3=1.6,"D",TRUE,"NG")</f>
        <v>A</v>
      </c>
      <c r="AT3" s="7">
        <f t="shared" ref="AT3:AT30" si="4">(AO3*3.75+AR3*1.25)/5</f>
        <v>2.4</v>
      </c>
      <c r="AU3" s="7" t="str" cm="1">
        <f t="array" ref="AU3">_xlfn.IFS(AND(AT3&lt;=4,AT3&gt;3.6),"A+",AND(AT3&lt;=3.6,AT3&gt;3.2),"A",AND(AT3&lt;=3.2,AT3&gt;2.8),"B+",AND(AT3&lt;=2.8,AT3&gt;2.4),"B",AND(AT3&lt;=2.4,AT3&gt;2),"C+",AND(AT3&lt;=2,AT3&gt;1.6),"C",AT3=1.6,"D",TRUE,"NG")</f>
        <v>C+</v>
      </c>
      <c r="AV3" s="7">
        <v>36</v>
      </c>
      <c r="AW3" s="7" cm="1">
        <f t="array" ref="AW3">IF(E3="BS",(_xlfn.IFS(AV3/75*100&gt;=90,4,AV3/75*100&gt;=80,3.6,AV3/75*100&gt;=70,3.2,AV3/75*100&gt;=60,2.8,AV3/75*100&gt;=50,2.4,AV3/75*100&gt;=40,2,AV3/75*100&gt;=35,1.6,TRUE, 0)),(_xlfn.IFS(AV3/50*100&gt;=90,4,AV3/50*100&gt;=80,3.6,AV3/50*100&gt;=70,3.2,AV3/50*100&gt;=60,2.8,AV3/50*100&gt;=50,2.4,AV3/50*100&gt;=40,2,AV3/50*100&gt;=35,1.6,TRUE, 0)))</f>
        <v>2</v>
      </c>
      <c r="AX3" s="7" t="str" cm="1">
        <f t="array" ref="AX3">_xlfn.IFS(AW3="-","-",AW3=4,"A+",AW3=3.6,"A",AW3=3.2,"B+",AW3=2.8,"B",AW3=2.4,"C+",AW3=2,"C",AW3=1.6,"D",TRUE,"NG")</f>
        <v>C</v>
      </c>
      <c r="AY3" s="7" cm="1">
        <f t="array" ref="AY3">IF(E3="BS",(_xlfn.IFS(AV3&gt;=70,25,AV3&gt;=60,24,AV3&gt;=50,23,AV3&gt;=40,22,AV3&gt;=30,21,TRUE,20)),(_xlfn.IFS(AV3&gt;=45,48,AV3&gt;=40,46,AV3&gt;=35,44,AV3&gt;=30,40,AV3&gt;=25,38,TRUE,20)))</f>
        <v>21</v>
      </c>
      <c r="AZ3" s="7" cm="1">
        <f t="array" ref="AZ3">IF(E3="BS",(_xlfn.IFS(AY3/25*100&gt;=90,4,AY3/25*100&gt;=80,3.6,AY3/25*100&gt;=70,3.2,AY3/25*100&gt;=60,2.8,AY3/25*100&gt;=50,2.4,AY3/25*100&gt;=40,2,AY3/25*100&gt;=35,1.6,TRUE, 0)),(_xlfn.IFS(AY3/50*100&gt;=90,4,AY3/50*100&gt;=80,3.6,AY3/50*100&gt;=70,3.2,AY3/50*100&gt;=60,2.8,AY3/50*100&gt;=50,2.4,AY3/50*100&gt;=40,2,AY3/50*100&gt;=35,1.6,TRUE, 0)))</f>
        <v>3.6</v>
      </c>
      <c r="BA3" s="7" t="str" cm="1">
        <f t="array" ref="BA3">_xlfn.IFS(AZ3="-","-",AZ3=4,"A+",AZ3=3.6,"A",AZ3=3.2,"B+",AZ3=2.8,"B",AZ3=2.4,"C+",AZ3=2,"C",AZ3=1.6,"D",TRUE,"NG")</f>
        <v>A</v>
      </c>
      <c r="BB3" s="7">
        <f>IF(E3="BS",(AW3*3.75+AZ3*1.25)/5,(AW3*2.5+AZ3*2.5)/5)</f>
        <v>2.4</v>
      </c>
      <c r="BC3" s="7" t="str" cm="1">
        <f t="array" ref="BC3">_xlfn.IFS(BB3="-","-",AND(BB3&lt;=4,BB3&gt;3.6),"A+",AND(BB3&lt;=3.6,BB3&gt;3.2),"A",AND(BB3&lt;=3.2,BB3&gt;2.8),"B+",AND(BB3&lt;=2.8,BB3&gt;2.4),"B",AND(BB3&lt;=2.4,BB3&gt;2),"C+",AND(BB3&lt;=2,BB3&gt;1.6),"C",BB3=1.6,"D",TRUE,"NG")</f>
        <v>C+</v>
      </c>
      <c r="BD3" s="12">
        <f>IF(E3="BS",(((I3*3+L3*1)+(Q3*2.25+T3*0.75)+(Y3*3.75+AB3*1.25)+(AG3*3.75+AJ3*1.25)+(AO3*3.75+AR3*1.25)+(AW3*3.75+AZ3*1.25))/(4+3+5*4)),(((I3*3+L3*1)+(Q3*2.25+T3*0.75)+(Y3*3.75+AB3*1.25)+(AG3*3.75+AJ3*1.25)+(AO3*3.75+AR3*1.25)+(AW3*2.5+AZ3*2.5))/(4+3+5*4)))</f>
        <v>2.3777777777777778</v>
      </c>
    </row>
    <row r="4" spans="1:56" x14ac:dyDescent="0.3">
      <c r="A4" s="2">
        <v>3</v>
      </c>
      <c r="B4" s="8">
        <v>793270280017</v>
      </c>
      <c r="C4" s="18">
        <v>12706868</v>
      </c>
      <c r="D4" s="3" t="s">
        <v>266</v>
      </c>
      <c r="E4" s="7" t="s">
        <v>56</v>
      </c>
      <c r="F4" s="20" t="s">
        <v>339</v>
      </c>
      <c r="G4" s="3" t="s">
        <v>304</v>
      </c>
      <c r="H4" s="7">
        <v>40</v>
      </c>
      <c r="I4" s="7" cm="1">
        <f t="array" ref="I4">_xlfn.IFS(H4/75*100&gt;=90,4,H4/75*100&gt;=80,3.6,H4/75*100&gt;=70,3.2,H4/75*100&gt;=60,2.8,H4/75*100&gt;=50,2.4,H4/75*100&gt;=40,2,H4/75*100&gt;=35,1.6,TRUE, 0)</f>
        <v>2.4</v>
      </c>
      <c r="J4" s="7" t="str" cm="1">
        <f t="array" ref="J4">_xlfn.IFS(I4=4,"A+",I4=3.6,"A",I4=3.2,"B+",I4=2.8,"B",I4=2.4,"C+",I4=2,"C",I4=1.6,"D",TRUE,"NG")</f>
        <v>C+</v>
      </c>
      <c r="K4" s="7" cm="1">
        <f t="array" ref="K4">_xlfn.IFS(H4&gt;=70,25,H4&gt;=60,24,H4&gt;=50,23,H4&gt;=40,22,H4&gt;=30,21,TRUE,20)</f>
        <v>22</v>
      </c>
      <c r="L4" s="7" cm="1">
        <f t="array" ref="L4">_xlfn.IFS(K4/25*100&gt;=90,4,K4/25*100&gt;=80,3.6,K4/25*100&gt;=70,3.2,K4/25*100&gt;=60,2.8,K4/25*100&gt;=50,2.4,K4/25*100&gt;=40,2,K4/25*100&gt;=35,1.6,TRUE, 0)</f>
        <v>3.6</v>
      </c>
      <c r="M4" s="7" t="str" cm="1">
        <f t="array" ref="M4">_xlfn.IFS(L4=4,"A+",L4=3.6,"A",L4=3.2,"B+",L4=2.8,"B",L4=2.4,"C+",L4=2,"C",L4=1.6,"D",TRUE,"NG")</f>
        <v>A</v>
      </c>
      <c r="N4" s="7">
        <f t="shared" si="0"/>
        <v>2.6999999999999997</v>
      </c>
      <c r="O4" s="7" t="str" cm="1">
        <f t="array" ref="O4">_xlfn.IFS(AND(N4&lt;=4,N4&gt;3.6),"A+",AND(N4&lt;=3.6,N4&gt;3.2),"A",AND(N4&lt;=3.2,N4&gt;2.8),"B+",AND(N4&lt;=2.8,N4&gt;2.4),"B",AND(N4&lt;=2.4,N4&gt;2),"C+",AND(N4&lt;=2,N4&gt;1.6),"C",N4=1.6,"D",TRUE,"NG")</f>
        <v>B</v>
      </c>
      <c r="P4" s="7">
        <v>36</v>
      </c>
      <c r="Q4" s="7" cm="1">
        <f t="array" ref="Q4">_xlfn.IFS(P4/75*100&gt;=90,4,P4/75*100&gt;=80,3.6,P4/75*100&gt;=70,3.2,P4/75*100&gt;=60,2.8,P4/75*100&gt;=50,2.4,P4/75*100&gt;=40,2,P4/75*100&gt;=35,1.6,TRUE, 0)</f>
        <v>2</v>
      </c>
      <c r="R4" s="7" t="str" cm="1">
        <f t="array" ref="R4">_xlfn.IFS(Q4=4,"A+",Q4=3.6,"A",Q4=3.2,"B+",Q4=2.8,"B",Q4=2.4,"C+",Q4=2,"C",Q4=1.6,"D",TRUE,"NG")</f>
        <v>C</v>
      </c>
      <c r="S4" s="7" cm="1">
        <f t="array" ref="S4">_xlfn.IFS(P4&gt;=70,25,P4&gt;=60,24,P4&gt;=50,23,P4&gt;=40,22,P4&gt;=30,21,TRUE,20)</f>
        <v>21</v>
      </c>
      <c r="T4" s="7" cm="1">
        <f t="array" ref="T4">_xlfn.IFS(S4/25*100&gt;=90,4,S4/25*100&gt;=80,3.6,S4/25*100&gt;=70,3.2,S4/25*100&gt;=60,2.8,S4/25*100&gt;=50,2.4,S4/25*100&gt;=40,2,S4/25*100&gt;=35,1.6,TRUE, 0)</f>
        <v>3.6</v>
      </c>
      <c r="U4" s="7" t="str" cm="1">
        <f t="array" ref="U4">_xlfn.IFS(T4=4,"A+",T4=3.6,"A",T4=3.2,"B+",T4=2.8,"B",T4=2.4,"C+",T4=2,"C",T4=1.6,"D",TRUE,"NG")</f>
        <v>A</v>
      </c>
      <c r="V4" s="7">
        <f t="shared" si="1"/>
        <v>2.4</v>
      </c>
      <c r="W4" s="7" t="str" cm="1">
        <f t="array" ref="W4">_xlfn.IFS(AND(V4&lt;=4,V4&gt;3.6),"A+",AND(V4&lt;=3.6,V4&gt;3.2),"A",AND(V4&lt;=3.2,V4&gt;2.8),"B+",AND(V4&lt;=2.8,V4&gt;2.4),"B",AND(V4&lt;=2.4,V4&gt;2),"C+",AND(V4&lt;=2,V4&gt;1.6),"C",V4=1.6,"D",TRUE,"NG")</f>
        <v>C+</v>
      </c>
      <c r="X4" s="7">
        <v>49</v>
      </c>
      <c r="Y4" s="7" cm="1">
        <f t="array" ref="Y4">_xlfn.IFS(X4/75*100&gt;=90,4,X4/75*100&gt;=80,3.6,X4/75*100&gt;=70,3.2,X4/75*100&gt;=60,2.8,X4/75*100&gt;=50,2.4,X4/75*100&gt;=40,2,X4/75*100&gt;=35,1.6,TRUE, 0)</f>
        <v>2.8</v>
      </c>
      <c r="Z4" s="7" t="str" cm="1">
        <f t="array" ref="Z4">_xlfn.IFS(Y4=4,"A+",Y4=3.6,"A",Y4=3.2,"B+",Y4=2.8,"B",Y4=2.4,"C+",Y4=2,"C",Y4=1.6,"D",TRUE,"NG")</f>
        <v>B</v>
      </c>
      <c r="AA4" s="7" cm="1">
        <f t="array" ref="AA4">_xlfn.IFS(X4&gt;=70,25,X4&gt;=60,24,X4&gt;=50,23,X4&gt;=40,22,X4&gt;=30,21,TRUE,20)</f>
        <v>22</v>
      </c>
      <c r="AB4" s="7" cm="1">
        <f t="array" ref="AB4">_xlfn.IFS(AA4/25*100&gt;=90,4,AA4/25*100&gt;=80,3.6,AA4/25*100&gt;=70,3.2,AA4/25*100&gt;=60,2.8,AA4/25*100&gt;=50,2.4,AA4/25*100&gt;=40,2,AA4/25*100&gt;=35,1.6,TRUE, 0)</f>
        <v>3.6</v>
      </c>
      <c r="AC4" s="7" t="str" cm="1">
        <f t="array" ref="AC4">_xlfn.IFS(AB4=4,"A+",AB4=3.6,"A",AB4=3.2,"B+",AB4=2.8,"B",AB4=2.4,"C+",AB4=2,"C",AB4=1.6,"D",TRUE,"NG")</f>
        <v>A</v>
      </c>
      <c r="AD4" s="7">
        <f t="shared" si="2"/>
        <v>3</v>
      </c>
      <c r="AE4" s="7" t="str" cm="1">
        <f t="array" ref="AE4">_xlfn.IFS(AND(AD4&lt;=4,AD4&gt;3.6),"A+",AND(AD4&lt;=3.6,AD4&gt;3.2),"A",AND(AD4&lt;=3.2,AD4&gt;2.8),"B+",AND(AD4&lt;=2.8,AD4&gt;2.4),"B",AND(AD4&lt;=2.4,AD4&gt;2),"C+",AND(AD4&lt;=2,AD4&gt;1.6),"C",AD4=1.6,"D",TRUE,"NG")</f>
        <v>B+</v>
      </c>
      <c r="AF4" s="7">
        <v>51</v>
      </c>
      <c r="AG4" s="7" cm="1">
        <f t="array" ref="AG4">_xlfn.IFS(AF4/75*100&gt;=90,4,AF4/75*100&gt;=80,3.6,AF4/75*100&gt;=70,3.2,AF4/75*100&gt;=60,2.8,AF4/75*100&gt;=50,2.4,AF4/75*100&gt;=40,2,AF4/75*100&gt;=35,1.6,TRUE, 0)</f>
        <v>2.8</v>
      </c>
      <c r="AH4" s="7" t="str" cm="1">
        <f t="array" ref="AH4">_xlfn.IFS(AG4=4,"A+",AG4=3.6,"A",AG4=3.2,"B+",AG4=2.8,"B",AG4=2.4,"C+",AG4=2,"C",AG4=1.6,"D",TRUE,"NG")</f>
        <v>B</v>
      </c>
      <c r="AI4" s="7" cm="1">
        <f t="array" ref="AI4">_xlfn.IFS(AF4&gt;=70,25,AF4&gt;=60,24,AF4&gt;=50,23,AF4&gt;=40,22,AF4&gt;=30,21,TRUE,20)</f>
        <v>23</v>
      </c>
      <c r="AJ4" s="7" cm="1">
        <f t="array" ref="AJ4">_xlfn.IFS(AI4/25*100&gt;=90,4,AI4/25*100&gt;=80,3.6,AI4/25*100&gt;=70,3.2,AI4/25*100&gt;=60,2.8,AI4/25*100&gt;=50,2.4,AI4/25*100&gt;=40,2,AI4/25*100&gt;=35,1.6,TRUE, 0)</f>
        <v>4</v>
      </c>
      <c r="AK4" s="7" t="str" cm="1">
        <f t="array" ref="AK4">_xlfn.IFS(AJ4=4,"A+",AJ4=3.6,"A",AJ4=3.2,"B+",AJ4=2.8,"B",AJ4=2.4,"C+",AJ4=2,"C",AJ4=1.6,"D",TRUE,"NG")</f>
        <v>A+</v>
      </c>
      <c r="AL4" s="7">
        <f t="shared" si="3"/>
        <v>3.1</v>
      </c>
      <c r="AM4" s="7" t="str" cm="1">
        <f t="array" ref="AM4">_xlfn.IFS(AND(AL4&lt;=4,AL4&gt;3.6),"A+",AND(AL4&lt;=3.6,AL4&gt;3.2),"A",AND(AL4&lt;=3.2,AL4&gt;2.8),"B+",AND(AL4&lt;=2.8,AL4&gt;2.4),"B",AND(AL4&lt;=2.4,AL4&gt;2),"C+",AND(AL4&lt;=2,AL4&gt;1.6),"C",AL4=1.6,"D",TRUE,"NG")</f>
        <v>B+</v>
      </c>
      <c r="AN4" s="7">
        <v>39</v>
      </c>
      <c r="AO4" s="7" cm="1">
        <f t="array" ref="AO4">_xlfn.IFS(AN4/75*100&gt;=90,4,AN4/75*100&gt;=80,3.6,AN4/75*100&gt;=70,3.2,AN4/75*100&gt;=60,2.8,AN4/75*100&gt;=50,2.4,AN4/75*100&gt;=40,2,AN4/75*100&gt;=35,1.6,TRUE, 0)</f>
        <v>2.4</v>
      </c>
      <c r="AP4" s="7" t="str" cm="1">
        <f t="array" ref="AP4">_xlfn.IFS(AO4=4,"A+",AO4=3.6,"A",AO4=3.2,"B+",AO4=2.8,"B",AO4=2.4,"C+",AO4=2,"C",AO4=1.6,"D",TRUE,"NG")</f>
        <v>C+</v>
      </c>
      <c r="AQ4" s="7" cm="1">
        <f t="array" ref="AQ4">_xlfn.IFS(AN4&gt;=70,25,AN4&gt;=60,24,AN4&gt;=50,23,AN4&gt;=40,22,AN4&gt;=30,21,TRUE,20)</f>
        <v>21</v>
      </c>
      <c r="AR4" s="7" cm="1">
        <f t="array" ref="AR4">_xlfn.IFS(AQ4/25*100&gt;=90,4,AQ4/25*100&gt;=80,3.6,AQ4/25*100&gt;=70,3.2,AQ4/25*100&gt;=60,2.8,AQ4/25*100&gt;=50,2.4,AQ4/25*100&gt;=40,2,AQ4/25*100&gt;=35,1.6,TRUE, 0)</f>
        <v>3.6</v>
      </c>
      <c r="AS4" s="7" t="str" cm="1">
        <f t="array" ref="AS4">_xlfn.IFS(AR4=4,"A+",AR4=3.6,"A",AR4=3.2,"B+",AR4=2.8,"B",AR4=2.4,"C+",AR4=2,"C",AR4=1.6,"D",TRUE,"NG")</f>
        <v>A</v>
      </c>
      <c r="AT4" s="7">
        <f t="shared" si="4"/>
        <v>2.7</v>
      </c>
      <c r="AU4" s="7" t="str" cm="1">
        <f t="array" ref="AU4">_xlfn.IFS(AND(AT4&lt;=4,AT4&gt;3.6),"A+",AND(AT4&lt;=3.6,AT4&gt;3.2),"A",AND(AT4&lt;=3.2,AT4&gt;2.8),"B+",AND(AT4&lt;=2.8,AT4&gt;2.4),"B",AND(AT4&lt;=2.4,AT4&gt;2),"C+",AND(AT4&lt;=2,AT4&gt;1.6),"C",AT4=1.6,"D",TRUE,"NG")</f>
        <v>B</v>
      </c>
      <c r="AV4" s="7">
        <v>50</v>
      </c>
      <c r="AW4" s="7" cm="1">
        <f t="array" ref="AW4">IF(E4="BS",(_xlfn.IFS(AV4/75*100&gt;=90,4,AV4/75*100&gt;=80,3.6,AV4/75*100&gt;=70,3.2,AV4/75*100&gt;=60,2.8,AV4/75*100&gt;=50,2.4,AV4/75*100&gt;=40,2,AV4/75*100&gt;=35,1.6,TRUE, 0)),(_xlfn.IFS(AV4/50*100&gt;=90,4,AV4/50*100&gt;=80,3.6,AV4/50*100&gt;=70,3.2,AV4/50*100&gt;=60,2.8,AV4/50*100&gt;=50,2.4,AV4/50*100&gt;=40,2,AV4/50*100&gt;=35,1.6,TRUE, 0)))</f>
        <v>2.8</v>
      </c>
      <c r="AX4" s="7" t="str" cm="1">
        <f t="array" ref="AX4">_xlfn.IFS(AW4="-","-",AW4=4,"A+",AW4=3.6,"A",AW4=3.2,"B+",AW4=2.8,"B",AW4=2.4,"C+",AW4=2,"C",AW4=1.6,"D",TRUE,"NG")</f>
        <v>B</v>
      </c>
      <c r="AY4" s="7" cm="1">
        <f t="array" ref="AY4">IF(E4="BS",(_xlfn.IFS(AV4&gt;=70,25,AV4&gt;=60,24,AV4&gt;=50,23,AV4&gt;=40,22,AV4&gt;=30,21,TRUE,20)),(_xlfn.IFS(AV4&gt;=45,48,AV4&gt;=40,46,AV4&gt;=35,44,AV4&gt;=30,40,AV4&gt;=25,38,TRUE,20)))</f>
        <v>23</v>
      </c>
      <c r="AZ4" s="7" cm="1">
        <f t="array" ref="AZ4">IF(E4="BS",(_xlfn.IFS(AY4/25*100&gt;=90,4,AY4/25*100&gt;=80,3.6,AY4/25*100&gt;=70,3.2,AY4/25*100&gt;=60,2.8,AY4/25*100&gt;=50,2.4,AY4/25*100&gt;=40,2,AY4/25*100&gt;=35,1.6,TRUE, 0)),(_xlfn.IFS(AY4/50*100&gt;=90,4,AY4/50*100&gt;=80,3.6,AY4/50*100&gt;=70,3.2,AY4/50*100&gt;=60,2.8,AY4/50*100&gt;=50,2.4,AY4/50*100&gt;=40,2,AY4/50*100&gt;=35,1.6,TRUE, 0)))</f>
        <v>4</v>
      </c>
      <c r="BA4" s="7" t="str" cm="1">
        <f t="array" ref="BA4">_xlfn.IFS(AZ4="-","-",AZ4=4,"A+",AZ4=3.6,"A",AZ4=3.2,"B+",AZ4=2.8,"B",AZ4=2.4,"C+",AZ4=2,"C",AZ4=1.6,"D",TRUE,"NG")</f>
        <v>A+</v>
      </c>
      <c r="BB4" s="7">
        <f>IF(E4="BS",(AW4*3.75+AZ4*1.25)/5,(AW4*2.5+AZ4*2.5)/5)</f>
        <v>3.1</v>
      </c>
      <c r="BC4" s="7" t="str" cm="1">
        <f t="array" ref="BC4">_xlfn.IFS(BB4="-","-",AND(BB4&lt;=4,BB4&gt;3.6),"A+",AND(BB4&lt;=3.6,BB4&gt;3.2),"A",AND(BB4&lt;=3.2,BB4&gt;2.8),"B+",AND(BB4&lt;=2.8,BB4&gt;2.4),"B",AND(BB4&lt;=2.4,BB4&gt;2),"C+",AND(BB4&lt;=2,BB4&gt;1.6),"C",BB4=1.6,"D",TRUE,"NG")</f>
        <v>B+</v>
      </c>
      <c r="BD4" s="12">
        <f>IF(E4="BS",(((I4*3+L4*1)+(Q4*2.25+T4*0.75)+(Y4*3.75+AB4*1.25)+(AG4*3.75+AJ4*1.25)+(AO4*3.75+AR4*1.25)+(AW4*3.75+AZ4*1.25))/(4+3+5*4)),(((I4*3+L4*1)+(Q4*2.25+T4*0.75)+(Y4*3.75+AB4*1.25)+(AG4*3.75+AJ4*1.25)+(AO4*3.75+AR4*1.25)+(AW4*2.5+AZ4*2.5))/(4+3+5*4)))</f>
        <v>2.8703703703703702</v>
      </c>
    </row>
    <row r="5" spans="1:56" x14ac:dyDescent="0.3">
      <c r="A5" s="2">
        <v>4</v>
      </c>
      <c r="B5" s="16">
        <v>793270280018</v>
      </c>
      <c r="C5" s="17">
        <v>12706869</v>
      </c>
      <c r="D5" s="3" t="s">
        <v>267</v>
      </c>
      <c r="E5" s="7" t="s">
        <v>56</v>
      </c>
      <c r="F5" s="20" t="s">
        <v>340</v>
      </c>
      <c r="G5" s="3" t="s">
        <v>305</v>
      </c>
      <c r="H5" s="7">
        <v>63</v>
      </c>
      <c r="I5" s="7" cm="1">
        <f t="array" ref="I5">_xlfn.IFS(H5/75*100&gt;=90,4,H5/75*100&gt;=80,3.6,H5/75*100&gt;=70,3.2,H5/75*100&gt;=60,2.8,H5/75*100&gt;=50,2.4,H5/75*100&gt;=40,2,H5/75*100&gt;=35,1.6,TRUE, 0)</f>
        <v>3.6</v>
      </c>
      <c r="J5" s="7" t="str" cm="1">
        <f t="array" ref="J5">_xlfn.IFS(I5=4,"A+",I5=3.6,"A",I5=3.2,"B+",I5=2.8,"B",I5=2.4,"C+",I5=2,"C",I5=1.6,"D",TRUE,"NG")</f>
        <v>A</v>
      </c>
      <c r="K5" s="7" cm="1">
        <f t="array" ref="K5">_xlfn.IFS(H5&gt;=70,25,H5&gt;=60,24,H5&gt;=50,23,H5&gt;=40,22,H5&gt;=30,21,TRUE,20)</f>
        <v>24</v>
      </c>
      <c r="L5" s="7" cm="1">
        <f t="array" ref="L5">_xlfn.IFS(K5/25*100&gt;=90,4,K5/25*100&gt;=80,3.6,K5/25*100&gt;=70,3.2,K5/25*100&gt;=60,2.8,K5/25*100&gt;=50,2.4,K5/25*100&gt;=40,2,K5/25*100&gt;=35,1.6,TRUE, 0)</f>
        <v>4</v>
      </c>
      <c r="M5" s="7" t="str" cm="1">
        <f t="array" ref="M5">_xlfn.IFS(L5=4,"A+",L5=3.6,"A",L5=3.2,"B+",L5=2.8,"B",L5=2.4,"C+",L5=2,"C",L5=1.6,"D",TRUE,"NG")</f>
        <v>A+</v>
      </c>
      <c r="N5" s="7">
        <f t="shared" si="0"/>
        <v>3.7</v>
      </c>
      <c r="O5" s="7" t="str" cm="1">
        <f t="array" ref="O5">_xlfn.IFS(AND(N5&lt;=4,N5&gt;3.6),"A+",AND(N5&lt;=3.6,N5&gt;3.2),"A",AND(N5&lt;=3.2,N5&gt;2.8),"B+",AND(N5&lt;=2.8,N5&gt;2.4),"B",AND(N5&lt;=2.4,N5&gt;2),"C+",AND(N5&lt;=2,N5&gt;1.6),"C",N5=1.6,"D",TRUE,"NG")</f>
        <v>A+</v>
      </c>
      <c r="P5" s="7">
        <v>48</v>
      </c>
      <c r="Q5" s="7" cm="1">
        <f t="array" ref="Q5">_xlfn.IFS(P5/75*100&gt;=90,4,P5/75*100&gt;=80,3.6,P5/75*100&gt;=70,3.2,P5/75*100&gt;=60,2.8,P5/75*100&gt;=50,2.4,P5/75*100&gt;=40,2,P5/75*100&gt;=35,1.6,TRUE, 0)</f>
        <v>2.8</v>
      </c>
      <c r="R5" s="7" t="str" cm="1">
        <f t="array" ref="R5">_xlfn.IFS(Q5=4,"A+",Q5=3.6,"A",Q5=3.2,"B+",Q5=2.8,"B",Q5=2.4,"C+",Q5=2,"C",Q5=1.6,"D",TRUE,"NG")</f>
        <v>B</v>
      </c>
      <c r="S5" s="7" cm="1">
        <f t="array" ref="S5">_xlfn.IFS(P5&gt;=70,25,P5&gt;=60,24,P5&gt;=50,23,P5&gt;=40,22,P5&gt;=30,21,TRUE,20)</f>
        <v>22</v>
      </c>
      <c r="T5" s="7" cm="1">
        <f t="array" ref="T5">_xlfn.IFS(S5/25*100&gt;=90,4,S5/25*100&gt;=80,3.6,S5/25*100&gt;=70,3.2,S5/25*100&gt;=60,2.8,S5/25*100&gt;=50,2.4,S5/25*100&gt;=40,2,S5/25*100&gt;=35,1.6,TRUE, 0)</f>
        <v>3.6</v>
      </c>
      <c r="U5" s="7" t="str" cm="1">
        <f t="array" ref="U5">_xlfn.IFS(T5=4,"A+",T5=3.6,"A",T5=3.2,"B+",T5=2.8,"B",T5=2.4,"C+",T5=2,"C",T5=1.6,"D",TRUE,"NG")</f>
        <v>A</v>
      </c>
      <c r="V5" s="7">
        <f t="shared" si="1"/>
        <v>3</v>
      </c>
      <c r="W5" s="7" t="str" cm="1">
        <f t="array" ref="W5">_xlfn.IFS(AND(V5&lt;=4,V5&gt;3.6),"A+",AND(V5&lt;=3.6,V5&gt;3.2),"A",AND(V5&lt;=3.2,V5&gt;2.8),"B+",AND(V5&lt;=2.8,V5&gt;2.4),"B",AND(V5&lt;=2.4,V5&gt;2),"C+",AND(V5&lt;=2,V5&gt;1.6),"C",V5=1.6,"D",TRUE,"NG")</f>
        <v>B+</v>
      </c>
      <c r="X5" s="7">
        <v>53</v>
      </c>
      <c r="Y5" s="7" cm="1">
        <f t="array" ref="Y5">_xlfn.IFS(X5/75*100&gt;=90,4,X5/75*100&gt;=80,3.6,X5/75*100&gt;=70,3.2,X5/75*100&gt;=60,2.8,X5/75*100&gt;=50,2.4,X5/75*100&gt;=40,2,X5/75*100&gt;=35,1.6,TRUE, 0)</f>
        <v>3.2</v>
      </c>
      <c r="Z5" s="7" t="str" cm="1">
        <f t="array" ref="Z5">_xlfn.IFS(Y5=4,"A+",Y5=3.6,"A",Y5=3.2,"B+",Y5=2.8,"B",Y5=2.4,"C+",Y5=2,"C",Y5=1.6,"D",TRUE,"NG")</f>
        <v>B+</v>
      </c>
      <c r="AA5" s="7" cm="1">
        <f t="array" ref="AA5">_xlfn.IFS(X5&gt;=70,25,X5&gt;=60,24,X5&gt;=50,23,X5&gt;=40,22,X5&gt;=30,21,TRUE,20)</f>
        <v>23</v>
      </c>
      <c r="AB5" s="7" cm="1">
        <f t="array" ref="AB5">_xlfn.IFS(AA5/25*100&gt;=90,4,AA5/25*100&gt;=80,3.6,AA5/25*100&gt;=70,3.2,AA5/25*100&gt;=60,2.8,AA5/25*100&gt;=50,2.4,AA5/25*100&gt;=40,2,AA5/25*100&gt;=35,1.6,TRUE, 0)</f>
        <v>4</v>
      </c>
      <c r="AC5" s="7" t="str" cm="1">
        <f t="array" ref="AC5">_xlfn.IFS(AB5=4,"A+",AB5=3.6,"A",AB5=3.2,"B+",AB5=2.8,"B",AB5=2.4,"C+",AB5=2,"C",AB5=1.6,"D",TRUE,"NG")</f>
        <v>A+</v>
      </c>
      <c r="AD5" s="7">
        <f t="shared" si="2"/>
        <v>3.4</v>
      </c>
      <c r="AE5" s="7" t="str" cm="1">
        <f t="array" ref="AE5">_xlfn.IFS(AND(AD5&lt;=4,AD5&gt;3.6),"A+",AND(AD5&lt;=3.6,AD5&gt;3.2),"A",AND(AD5&lt;=3.2,AD5&gt;2.8),"B+",AND(AD5&lt;=2.8,AD5&gt;2.4),"B",AND(AD5&lt;=2.4,AD5&gt;2),"C+",AND(AD5&lt;=2,AD5&gt;1.6),"C",AD5=1.6,"D",TRUE,"NG")</f>
        <v>A</v>
      </c>
      <c r="AF5" s="7">
        <v>67</v>
      </c>
      <c r="AG5" s="7" cm="1">
        <f t="array" ref="AG5">_xlfn.IFS(AF5/75*100&gt;=90,4,AF5/75*100&gt;=80,3.6,AF5/75*100&gt;=70,3.2,AF5/75*100&gt;=60,2.8,AF5/75*100&gt;=50,2.4,AF5/75*100&gt;=40,2,AF5/75*100&gt;=35,1.6,TRUE, 0)</f>
        <v>3.6</v>
      </c>
      <c r="AH5" s="7" t="str" cm="1">
        <f t="array" ref="AH5">_xlfn.IFS(AG5=4,"A+",AG5=3.6,"A",AG5=3.2,"B+",AG5=2.8,"B",AG5=2.4,"C+",AG5=2,"C",AG5=1.6,"D",TRUE,"NG")</f>
        <v>A</v>
      </c>
      <c r="AI5" s="7" cm="1">
        <f t="array" ref="AI5">_xlfn.IFS(AF5&gt;=70,25,AF5&gt;=60,24,AF5&gt;=50,23,AF5&gt;=40,22,AF5&gt;=30,21,TRUE,20)</f>
        <v>24</v>
      </c>
      <c r="AJ5" s="7" cm="1">
        <f t="array" ref="AJ5">_xlfn.IFS(AI5/25*100&gt;=90,4,AI5/25*100&gt;=80,3.6,AI5/25*100&gt;=70,3.2,AI5/25*100&gt;=60,2.8,AI5/25*100&gt;=50,2.4,AI5/25*100&gt;=40,2,AI5/25*100&gt;=35,1.6,TRUE, 0)</f>
        <v>4</v>
      </c>
      <c r="AK5" s="7" t="str" cm="1">
        <f t="array" ref="AK5">_xlfn.IFS(AJ5=4,"A+",AJ5=3.6,"A",AJ5=3.2,"B+",AJ5=2.8,"B",AJ5=2.4,"C+",AJ5=2,"C",AJ5=1.6,"D",TRUE,"NG")</f>
        <v>A+</v>
      </c>
      <c r="AL5" s="7">
        <f t="shared" si="3"/>
        <v>3.7</v>
      </c>
      <c r="AM5" s="7" t="str" cm="1">
        <f t="array" ref="AM5">_xlfn.IFS(AND(AL5&lt;=4,AL5&gt;3.6),"A+",AND(AL5&lt;=3.6,AL5&gt;3.2),"A",AND(AL5&lt;=3.2,AL5&gt;2.8),"B+",AND(AL5&lt;=2.8,AL5&gt;2.4),"B",AND(AL5&lt;=2.4,AL5&gt;2),"C+",AND(AL5&lt;=2,AL5&gt;1.6),"C",AL5=1.6,"D",TRUE,"NG")</f>
        <v>A+</v>
      </c>
      <c r="AN5" s="7">
        <v>52</v>
      </c>
      <c r="AO5" s="7" cm="1">
        <f t="array" ref="AO5">_xlfn.IFS(AN5/75*100&gt;=90,4,AN5/75*100&gt;=80,3.6,AN5/75*100&gt;=70,3.2,AN5/75*100&gt;=60,2.8,AN5/75*100&gt;=50,2.4,AN5/75*100&gt;=40,2,AN5/75*100&gt;=35,1.6,TRUE, 0)</f>
        <v>2.8</v>
      </c>
      <c r="AP5" s="7" t="str" cm="1">
        <f t="array" ref="AP5">_xlfn.IFS(AO5=4,"A+",AO5=3.6,"A",AO5=3.2,"B+",AO5=2.8,"B",AO5=2.4,"C+",AO5=2,"C",AO5=1.6,"D",TRUE,"NG")</f>
        <v>B</v>
      </c>
      <c r="AQ5" s="7" cm="1">
        <f t="array" ref="AQ5">_xlfn.IFS(AN5&gt;=70,25,AN5&gt;=60,24,AN5&gt;=50,23,AN5&gt;=40,22,AN5&gt;=30,21,TRUE,20)</f>
        <v>23</v>
      </c>
      <c r="AR5" s="7" cm="1">
        <f t="array" ref="AR5">_xlfn.IFS(AQ5/25*100&gt;=90,4,AQ5/25*100&gt;=80,3.6,AQ5/25*100&gt;=70,3.2,AQ5/25*100&gt;=60,2.8,AQ5/25*100&gt;=50,2.4,AQ5/25*100&gt;=40,2,AQ5/25*100&gt;=35,1.6,TRUE, 0)</f>
        <v>4</v>
      </c>
      <c r="AS5" s="7" t="str" cm="1">
        <f t="array" ref="AS5">_xlfn.IFS(AR5=4,"A+",AR5=3.6,"A",AR5=3.2,"B+",AR5=2.8,"B",AR5=2.4,"C+",AR5=2,"C",AR5=1.6,"D",TRUE,"NG")</f>
        <v>A+</v>
      </c>
      <c r="AT5" s="7">
        <f t="shared" si="4"/>
        <v>3.1</v>
      </c>
      <c r="AU5" s="7" t="str" cm="1">
        <f t="array" ref="AU5">_xlfn.IFS(AND(AT5&lt;=4,AT5&gt;3.6),"A+",AND(AT5&lt;=3.6,AT5&gt;3.2),"A",AND(AT5&lt;=3.2,AT5&gt;2.8),"B+",AND(AT5&lt;=2.8,AT5&gt;2.4),"B",AND(AT5&lt;=2.4,AT5&gt;2),"C+",AND(AT5&lt;=2,AT5&gt;1.6),"C",AT5=1.6,"D",TRUE,"NG")</f>
        <v>B+</v>
      </c>
      <c r="AV5" s="7">
        <v>57</v>
      </c>
      <c r="AW5" s="7" cm="1">
        <f t="array" ref="AW5">IF(E5="BS",(_xlfn.IFS(AV5/75*100&gt;=90,4,AV5/75*100&gt;=80,3.6,AV5/75*100&gt;=70,3.2,AV5/75*100&gt;=60,2.8,AV5/75*100&gt;=50,2.4,AV5/75*100&gt;=40,2,AV5/75*100&gt;=35,1.6,TRUE, 0)),(_xlfn.IFS(AV5/50*100&gt;=90,4,AV5/50*100&gt;=80,3.6,AV5/50*100&gt;=70,3.2,AV5/50*100&gt;=60,2.8,AV5/50*100&gt;=50,2.4,AV5/50*100&gt;=40,2,AV5/50*100&gt;=35,1.6,TRUE, 0)))</f>
        <v>3.2</v>
      </c>
      <c r="AX5" s="7" t="str" cm="1">
        <f t="array" ref="AX5">_xlfn.IFS(AW5="-","-",AW5=4,"A+",AW5=3.6,"A",AW5=3.2,"B+",AW5=2.8,"B",AW5=2.4,"C+",AW5=2,"C",AW5=1.6,"D",TRUE,"NG")</f>
        <v>B+</v>
      </c>
      <c r="AY5" s="7" cm="1">
        <f t="array" ref="AY5">IF(E5="BS",(_xlfn.IFS(AV5&gt;=70,25,AV5&gt;=60,24,AV5&gt;=50,23,AV5&gt;=40,22,AV5&gt;=30,21,TRUE,20)),(_xlfn.IFS(AV5&gt;=45,48,AV5&gt;=40,46,AV5&gt;=35,44,AV5&gt;=30,40,AV5&gt;=25,38,TRUE,20)))</f>
        <v>23</v>
      </c>
      <c r="AZ5" s="7" cm="1">
        <f t="array" ref="AZ5">IF(E5="BS",(_xlfn.IFS(AY5/25*100&gt;=90,4,AY5/25*100&gt;=80,3.6,AY5/25*100&gt;=70,3.2,AY5/25*100&gt;=60,2.8,AY5/25*100&gt;=50,2.4,AY5/25*100&gt;=40,2,AY5/25*100&gt;=35,1.6,TRUE, 0)),(_xlfn.IFS(AY5/50*100&gt;=90,4,AY5/50*100&gt;=80,3.6,AY5/50*100&gt;=70,3.2,AY5/50*100&gt;=60,2.8,AY5/50*100&gt;=50,2.4,AY5/50*100&gt;=40,2,AY5/50*100&gt;=35,1.6,TRUE, 0)))</f>
        <v>4</v>
      </c>
      <c r="BA5" s="7" t="str" cm="1">
        <f t="array" ref="BA5">_xlfn.IFS(AZ5="-","-",AZ5=4,"A+",AZ5=3.6,"A",AZ5=3.2,"B+",AZ5=2.8,"B",AZ5=2.4,"C+",AZ5=2,"C",AZ5=1.6,"D",TRUE,"NG")</f>
        <v>A+</v>
      </c>
      <c r="BB5" s="7">
        <f>IF(E5="BS",(AW5*3.75+AZ5*1.25)/5,(AW5*2.5+AZ5*2.5)/5)</f>
        <v>3.4</v>
      </c>
      <c r="BC5" s="7" t="str" cm="1">
        <f t="array" ref="BC5">_xlfn.IFS(BB5="-","-",AND(BB5&lt;=4,BB5&gt;3.6),"A+",AND(BB5&lt;=3.6,BB5&gt;3.2),"A",AND(BB5&lt;=3.2,BB5&gt;2.8),"B+",AND(BB5&lt;=2.8,BB5&gt;2.4),"B",AND(BB5&lt;=2.4,BB5&gt;2),"C+",AND(BB5&lt;=2,BB5&gt;1.6),"C",BB5=1.6,"D",TRUE,"NG")</f>
        <v>A</v>
      </c>
      <c r="BD5" s="12">
        <f>IF(E5="BS",(((I5*3+L5*1)+(Q5*2.25+T5*0.75)+(Y5*3.75+AB5*1.25)+(AG5*3.75+AJ5*1.25)+(AO5*3.75+AR5*1.25)+(AW5*3.75+AZ5*1.25))/(4+3+5*4)),(((I5*3+L5*1)+(Q5*2.25+T5*0.75)+(Y5*3.75+AB5*1.25)+(AG5*3.75+AJ5*1.25)+(AO5*3.75+AR5*1.25)+(AW5*2.5+AZ5*2.5))/(4+3+5*4)))</f>
        <v>3.4</v>
      </c>
    </row>
    <row r="6" spans="1:56" x14ac:dyDescent="0.3">
      <c r="A6" s="2">
        <v>5</v>
      </c>
      <c r="B6" s="16">
        <v>793270280023</v>
      </c>
      <c r="C6" s="17">
        <v>12706874</v>
      </c>
      <c r="D6" s="3" t="s">
        <v>268</v>
      </c>
      <c r="E6" s="7" t="s">
        <v>56</v>
      </c>
      <c r="F6" s="20" t="s">
        <v>341</v>
      </c>
      <c r="G6" s="3" t="s">
        <v>306</v>
      </c>
      <c r="H6" s="7">
        <v>33</v>
      </c>
      <c r="I6" s="7" cm="1">
        <f t="array" ref="I6">_xlfn.IFS(H6/75*100&gt;=90,4,H6/75*100&gt;=80,3.6,H6/75*100&gt;=70,3.2,H6/75*100&gt;=60,2.8,H6/75*100&gt;=50,2.4,H6/75*100&gt;=40,2,H6/75*100&gt;=35,1.6,TRUE, 0)</f>
        <v>2</v>
      </c>
      <c r="J6" s="7" t="str" cm="1">
        <f t="array" ref="J6">_xlfn.IFS(I6=4,"A+",I6=3.6,"A",I6=3.2,"B+",I6=2.8,"B",I6=2.4,"C+",I6=2,"C",I6=1.6,"D",TRUE,"NG")</f>
        <v>C</v>
      </c>
      <c r="K6" s="7" cm="1">
        <f t="array" ref="K6">_xlfn.IFS(H6&gt;=70,25,H6&gt;=60,24,H6&gt;=50,23,H6&gt;=40,22,H6&gt;=30,21,TRUE,20)</f>
        <v>21</v>
      </c>
      <c r="L6" s="7" cm="1">
        <f t="array" ref="L6">_xlfn.IFS(K6/25*100&gt;=90,4,K6/25*100&gt;=80,3.6,K6/25*100&gt;=70,3.2,K6/25*100&gt;=60,2.8,K6/25*100&gt;=50,2.4,K6/25*100&gt;=40,2,K6/25*100&gt;=35,1.6,TRUE, 0)</f>
        <v>3.6</v>
      </c>
      <c r="M6" s="7" t="str" cm="1">
        <f t="array" ref="M6">_xlfn.IFS(L6=4,"A+",L6=3.6,"A",L6=3.2,"B+",L6=2.8,"B",L6=2.4,"C+",L6=2,"C",L6=1.6,"D",TRUE,"NG")</f>
        <v>A</v>
      </c>
      <c r="N6" s="7">
        <f t="shared" si="0"/>
        <v>2.4</v>
      </c>
      <c r="O6" s="7" t="str" cm="1">
        <f t="array" ref="O6">_xlfn.IFS(AND(N6&lt;=4,N6&gt;3.6),"A+",AND(N6&lt;=3.6,N6&gt;3.2),"A",AND(N6&lt;=3.2,N6&gt;2.8),"B+",AND(N6&lt;=2.8,N6&gt;2.4),"B",AND(N6&lt;=2.4,N6&gt;2),"C+",AND(N6&lt;=2,N6&gt;1.6),"C",N6=1.6,"D",TRUE,"NG")</f>
        <v>C+</v>
      </c>
      <c r="P6" s="7">
        <v>47</v>
      </c>
      <c r="Q6" s="7" cm="1">
        <f t="array" ref="Q6">_xlfn.IFS(P6/75*100&gt;=90,4,P6/75*100&gt;=80,3.6,P6/75*100&gt;=70,3.2,P6/75*100&gt;=60,2.8,P6/75*100&gt;=50,2.4,P6/75*100&gt;=40,2,P6/75*100&gt;=35,1.6,TRUE, 0)</f>
        <v>2.8</v>
      </c>
      <c r="R6" s="7" t="str" cm="1">
        <f t="array" ref="R6">_xlfn.IFS(Q6=4,"A+",Q6=3.6,"A",Q6=3.2,"B+",Q6=2.8,"B",Q6=2.4,"C+",Q6=2,"C",Q6=1.6,"D",TRUE,"NG")</f>
        <v>B</v>
      </c>
      <c r="S6" s="7" cm="1">
        <f t="array" ref="S6">_xlfn.IFS(P6&gt;=70,25,P6&gt;=60,24,P6&gt;=50,23,P6&gt;=40,22,P6&gt;=30,21,TRUE,20)</f>
        <v>22</v>
      </c>
      <c r="T6" s="7" cm="1">
        <f t="array" ref="T6">_xlfn.IFS(S6/25*100&gt;=90,4,S6/25*100&gt;=80,3.6,S6/25*100&gt;=70,3.2,S6/25*100&gt;=60,2.8,S6/25*100&gt;=50,2.4,S6/25*100&gt;=40,2,S6/25*100&gt;=35,1.6,TRUE, 0)</f>
        <v>3.6</v>
      </c>
      <c r="U6" s="7" t="str" cm="1">
        <f t="array" ref="U6">_xlfn.IFS(T6=4,"A+",T6=3.6,"A",T6=3.2,"B+",T6=2.8,"B",T6=2.4,"C+",T6=2,"C",T6=1.6,"D",TRUE,"NG")</f>
        <v>A</v>
      </c>
      <c r="V6" s="7">
        <f t="shared" si="1"/>
        <v>3</v>
      </c>
      <c r="W6" s="7" t="str" cm="1">
        <f t="array" ref="W6">_xlfn.IFS(AND(V6&lt;=4,V6&gt;3.6),"A+",AND(V6&lt;=3.6,V6&gt;3.2),"A",AND(V6&lt;=3.2,V6&gt;2.8),"B+",AND(V6&lt;=2.8,V6&gt;2.4),"B",AND(V6&lt;=2.4,V6&gt;2),"C+",AND(V6&lt;=2,V6&gt;1.6),"C",V6=1.6,"D",TRUE,"NG")</f>
        <v>B+</v>
      </c>
      <c r="X6" s="7">
        <v>38</v>
      </c>
      <c r="Y6" s="7" cm="1">
        <f t="array" ref="Y6">_xlfn.IFS(X6/75*100&gt;=90,4,X6/75*100&gt;=80,3.6,X6/75*100&gt;=70,3.2,X6/75*100&gt;=60,2.8,X6/75*100&gt;=50,2.4,X6/75*100&gt;=40,2,X6/75*100&gt;=35,1.6,TRUE, 0)</f>
        <v>2.4</v>
      </c>
      <c r="Z6" s="7" t="str" cm="1">
        <f t="array" ref="Z6">_xlfn.IFS(Y6=4,"A+",Y6=3.6,"A",Y6=3.2,"B+",Y6=2.8,"B",Y6=2.4,"C+",Y6=2,"C",Y6=1.6,"D",TRUE,"NG")</f>
        <v>C+</v>
      </c>
      <c r="AA6" s="7" cm="1">
        <f t="array" ref="AA6">_xlfn.IFS(X6&gt;=70,25,X6&gt;=60,24,X6&gt;=50,23,X6&gt;=40,22,X6&gt;=30,21,TRUE,20)</f>
        <v>21</v>
      </c>
      <c r="AB6" s="7" cm="1">
        <f t="array" ref="AB6">_xlfn.IFS(AA6/25*100&gt;=90,4,AA6/25*100&gt;=80,3.6,AA6/25*100&gt;=70,3.2,AA6/25*100&gt;=60,2.8,AA6/25*100&gt;=50,2.4,AA6/25*100&gt;=40,2,AA6/25*100&gt;=35,1.6,TRUE, 0)</f>
        <v>3.6</v>
      </c>
      <c r="AC6" s="7" t="str" cm="1">
        <f t="array" ref="AC6">_xlfn.IFS(AB6=4,"A+",AB6=3.6,"A",AB6=3.2,"B+",AB6=2.8,"B",AB6=2.4,"C+",AB6=2,"C",AB6=1.6,"D",TRUE,"NG")</f>
        <v>A</v>
      </c>
      <c r="AD6" s="7">
        <f t="shared" si="2"/>
        <v>2.7</v>
      </c>
      <c r="AE6" s="7" t="str" cm="1">
        <f t="array" ref="AE6">_xlfn.IFS(AND(AD6&lt;=4,AD6&gt;3.6),"A+",AND(AD6&lt;=3.6,AD6&gt;3.2),"A",AND(AD6&lt;=3.2,AD6&gt;2.8),"B+",AND(AD6&lt;=2.8,AD6&gt;2.4),"B",AND(AD6&lt;=2.4,AD6&gt;2),"C+",AND(AD6&lt;=2,AD6&gt;1.6),"C",AD6=1.6,"D",TRUE,"NG")</f>
        <v>B</v>
      </c>
      <c r="AF6" s="7">
        <v>40</v>
      </c>
      <c r="AG6" s="7" cm="1">
        <f t="array" ref="AG6">_xlfn.IFS(AF6/75*100&gt;=90,4,AF6/75*100&gt;=80,3.6,AF6/75*100&gt;=70,3.2,AF6/75*100&gt;=60,2.8,AF6/75*100&gt;=50,2.4,AF6/75*100&gt;=40,2,AF6/75*100&gt;=35,1.6,TRUE, 0)</f>
        <v>2.4</v>
      </c>
      <c r="AH6" s="7" t="str" cm="1">
        <f t="array" ref="AH6">_xlfn.IFS(AG6=4,"A+",AG6=3.6,"A",AG6=3.2,"B+",AG6=2.8,"B",AG6=2.4,"C+",AG6=2,"C",AG6=1.6,"D",TRUE,"NG")</f>
        <v>C+</v>
      </c>
      <c r="AI6" s="7" cm="1">
        <f t="array" ref="AI6">_xlfn.IFS(AF6&gt;=70,25,AF6&gt;=60,24,AF6&gt;=50,23,AF6&gt;=40,22,AF6&gt;=30,21,TRUE,20)</f>
        <v>22</v>
      </c>
      <c r="AJ6" s="7" cm="1">
        <f t="array" ref="AJ6">_xlfn.IFS(AI6/25*100&gt;=90,4,AI6/25*100&gt;=80,3.6,AI6/25*100&gt;=70,3.2,AI6/25*100&gt;=60,2.8,AI6/25*100&gt;=50,2.4,AI6/25*100&gt;=40,2,AI6/25*100&gt;=35,1.6,TRUE, 0)</f>
        <v>3.6</v>
      </c>
      <c r="AK6" s="7" t="str" cm="1">
        <f t="array" ref="AK6">_xlfn.IFS(AJ6=4,"A+",AJ6=3.6,"A",AJ6=3.2,"B+",AJ6=2.8,"B",AJ6=2.4,"C+",AJ6=2,"C",AJ6=1.6,"D",TRUE,"NG")</f>
        <v>A</v>
      </c>
      <c r="AL6" s="7">
        <f t="shared" si="3"/>
        <v>2.7</v>
      </c>
      <c r="AM6" s="7" t="str" cm="1">
        <f t="array" ref="AM6">_xlfn.IFS(AND(AL6&lt;=4,AL6&gt;3.6),"A+",AND(AL6&lt;=3.6,AL6&gt;3.2),"A",AND(AL6&lt;=3.2,AL6&gt;2.8),"B+",AND(AL6&lt;=2.8,AL6&gt;2.4),"B",AND(AL6&lt;=2.4,AL6&gt;2),"C+",AND(AL6&lt;=2,AL6&gt;1.6),"C",AL6=1.6,"D",TRUE,"NG")</f>
        <v>B</v>
      </c>
      <c r="AN6" s="7">
        <v>46</v>
      </c>
      <c r="AO6" s="7" cm="1">
        <f t="array" ref="AO6">_xlfn.IFS(AN6/75*100&gt;=90,4,AN6/75*100&gt;=80,3.6,AN6/75*100&gt;=70,3.2,AN6/75*100&gt;=60,2.8,AN6/75*100&gt;=50,2.4,AN6/75*100&gt;=40,2,AN6/75*100&gt;=35,1.6,TRUE, 0)</f>
        <v>2.8</v>
      </c>
      <c r="AP6" s="7" t="str" cm="1">
        <f t="array" ref="AP6">_xlfn.IFS(AO6=4,"A+",AO6=3.6,"A",AO6=3.2,"B+",AO6=2.8,"B",AO6=2.4,"C+",AO6=2,"C",AO6=1.6,"D",TRUE,"NG")</f>
        <v>B</v>
      </c>
      <c r="AQ6" s="7" cm="1">
        <f t="array" ref="AQ6">_xlfn.IFS(AN6&gt;=70,25,AN6&gt;=60,24,AN6&gt;=50,23,AN6&gt;=40,22,AN6&gt;=30,21,TRUE,20)</f>
        <v>22</v>
      </c>
      <c r="AR6" s="7" cm="1">
        <f t="array" ref="AR6">_xlfn.IFS(AQ6/25*100&gt;=90,4,AQ6/25*100&gt;=80,3.6,AQ6/25*100&gt;=70,3.2,AQ6/25*100&gt;=60,2.8,AQ6/25*100&gt;=50,2.4,AQ6/25*100&gt;=40,2,AQ6/25*100&gt;=35,1.6,TRUE, 0)</f>
        <v>3.6</v>
      </c>
      <c r="AS6" s="7" t="str" cm="1">
        <f t="array" ref="AS6">_xlfn.IFS(AR6=4,"A+",AR6=3.6,"A",AR6=3.2,"B+",AR6=2.8,"B",AR6=2.4,"C+",AR6=2,"C",AR6=1.6,"D",TRUE,"NG")</f>
        <v>A</v>
      </c>
      <c r="AT6" s="7">
        <f t="shared" si="4"/>
        <v>3</v>
      </c>
      <c r="AU6" s="7" t="str" cm="1">
        <f t="array" ref="AU6">_xlfn.IFS(AND(AT6&lt;=4,AT6&gt;3.6),"A+",AND(AT6&lt;=3.6,AT6&gt;3.2),"A",AND(AT6&lt;=3.2,AT6&gt;2.8),"B+",AND(AT6&lt;=2.8,AT6&gt;2.4),"B",AND(AT6&lt;=2.4,AT6&gt;2),"C+",AND(AT6&lt;=2,AT6&gt;1.6),"C",AT6=1.6,"D",TRUE,"NG")</f>
        <v>B+</v>
      </c>
      <c r="AV6" s="7">
        <v>47</v>
      </c>
      <c r="AW6" s="7" cm="1">
        <f t="array" ref="AW6">IF(E6="BS",(_xlfn.IFS(AV6/75*100&gt;=90,4,AV6/75*100&gt;=80,3.6,AV6/75*100&gt;=70,3.2,AV6/75*100&gt;=60,2.8,AV6/75*100&gt;=50,2.4,AV6/75*100&gt;=40,2,AV6/75*100&gt;=35,1.6,TRUE, 0)),(_xlfn.IFS(AV6/50*100&gt;=90,4,AV6/50*100&gt;=80,3.6,AV6/50*100&gt;=70,3.2,AV6/50*100&gt;=60,2.8,AV6/50*100&gt;=50,2.4,AV6/50*100&gt;=40,2,AV6/50*100&gt;=35,1.6,TRUE, 0)))</f>
        <v>2.8</v>
      </c>
      <c r="AX6" s="7" t="str" cm="1">
        <f t="array" ref="AX6">_xlfn.IFS(AW6="-","-",AW6=4,"A+",AW6=3.6,"A",AW6=3.2,"B+",AW6=2.8,"B",AW6=2.4,"C+",AW6=2,"C",AW6=1.6,"D",TRUE,"NG")</f>
        <v>B</v>
      </c>
      <c r="AY6" s="7" cm="1">
        <f t="array" ref="AY6">IF(E6="BS",(_xlfn.IFS(AV6&gt;=70,25,AV6&gt;=60,24,AV6&gt;=50,23,AV6&gt;=40,22,AV6&gt;=30,21,TRUE,20)),(_xlfn.IFS(AV6&gt;=45,48,AV6&gt;=40,46,AV6&gt;=35,44,AV6&gt;=30,40,AV6&gt;=25,38,TRUE,20)))</f>
        <v>22</v>
      </c>
      <c r="AZ6" s="7" cm="1">
        <f t="array" ref="AZ6">IF(E6="BS",(_xlfn.IFS(AY6/25*100&gt;=90,4,AY6/25*100&gt;=80,3.6,AY6/25*100&gt;=70,3.2,AY6/25*100&gt;=60,2.8,AY6/25*100&gt;=50,2.4,AY6/25*100&gt;=40,2,AY6/25*100&gt;=35,1.6,TRUE, 0)),(_xlfn.IFS(AY6/50*100&gt;=90,4,AY6/50*100&gt;=80,3.6,AY6/50*100&gt;=70,3.2,AY6/50*100&gt;=60,2.8,AY6/50*100&gt;=50,2.4,AY6/50*100&gt;=40,2,AY6/50*100&gt;=35,1.6,TRUE, 0)))</f>
        <v>3.6</v>
      </c>
      <c r="BA6" s="7" t="str" cm="1">
        <f t="array" ref="BA6">_xlfn.IFS(AZ6="-","-",AZ6=4,"A+",AZ6=3.6,"A",AZ6=3.2,"B+",AZ6=2.8,"B",AZ6=2.4,"C+",AZ6=2,"C",AZ6=1.6,"D",TRUE,"NG")</f>
        <v>A</v>
      </c>
      <c r="BB6" s="7">
        <f>IF(E6="BS",(AW6*3.75+AZ6*1.25)/5,(AW6*2.5+AZ6*2.5)/5)</f>
        <v>3</v>
      </c>
      <c r="BC6" s="7" t="str" cm="1">
        <f t="array" ref="BC6">_xlfn.IFS(BB6="-","-",AND(BB6&lt;=4,BB6&gt;3.6),"A+",AND(BB6&lt;=3.6,BB6&gt;3.2),"A",AND(BB6&lt;=3.2,BB6&gt;2.8),"B+",AND(BB6&lt;=2.8,BB6&gt;2.4),"B",AND(BB6&lt;=2.4,BB6&gt;2),"C+",AND(BB6&lt;=2,BB6&gt;1.6),"C",BB6=1.6,"D",TRUE,"NG")</f>
        <v>B+</v>
      </c>
      <c r="BD6" s="12">
        <f>IF(E6="BS",(((I6*3+L6*1)+(Q6*2.25+T6*0.75)+(Y6*3.75+AB6*1.25)+(AG6*3.75+AJ6*1.25)+(AO6*3.75+AR6*1.25)+(AW6*3.75+AZ6*1.25))/(4+3+5*4)),(((I6*3+L6*1)+(Q6*2.25+T6*0.75)+(Y6*3.75+AB6*1.25)+(AG6*3.75+AJ6*1.25)+(AO6*3.75+AR6*1.25)+(AW6*2.5+AZ6*2.5))/(4+3+5*4)))</f>
        <v>2.8</v>
      </c>
    </row>
    <row r="7" spans="1:56" x14ac:dyDescent="0.3">
      <c r="A7" s="2">
        <v>6</v>
      </c>
      <c r="B7" s="16">
        <v>793270280029</v>
      </c>
      <c r="C7" s="17">
        <v>12706880</v>
      </c>
      <c r="D7" s="3" t="s">
        <v>269</v>
      </c>
      <c r="E7" s="7" t="s">
        <v>56</v>
      </c>
      <c r="F7" s="20" t="s">
        <v>342</v>
      </c>
      <c r="G7" s="3" t="s">
        <v>307</v>
      </c>
      <c r="H7" s="7">
        <v>48</v>
      </c>
      <c r="I7" s="7" cm="1">
        <f t="array" ref="I7">_xlfn.IFS(H7/75*100&gt;=90,4,H7/75*100&gt;=80,3.6,H7/75*100&gt;=70,3.2,H7/75*100&gt;=60,2.8,H7/75*100&gt;=50,2.4,H7/75*100&gt;=40,2,H7/75*100&gt;=35,1.6,TRUE, 0)</f>
        <v>2.8</v>
      </c>
      <c r="J7" s="7" t="str" cm="1">
        <f t="array" ref="J7">_xlfn.IFS(I7=4,"A+",I7=3.6,"A",I7=3.2,"B+",I7=2.8,"B",I7=2.4,"C+",I7=2,"C",I7=1.6,"D",TRUE,"NG")</f>
        <v>B</v>
      </c>
      <c r="K7" s="7" cm="1">
        <f t="array" ref="K7">_xlfn.IFS(H7&gt;=70,25,H7&gt;=60,24,H7&gt;=50,23,H7&gt;=40,22,H7&gt;=30,21,TRUE,20)</f>
        <v>22</v>
      </c>
      <c r="L7" s="7" cm="1">
        <f t="array" ref="L7">_xlfn.IFS(K7/25*100&gt;=90,4,K7/25*100&gt;=80,3.6,K7/25*100&gt;=70,3.2,K7/25*100&gt;=60,2.8,K7/25*100&gt;=50,2.4,K7/25*100&gt;=40,2,K7/25*100&gt;=35,1.6,TRUE, 0)</f>
        <v>3.6</v>
      </c>
      <c r="M7" s="7" t="str" cm="1">
        <f t="array" ref="M7">_xlfn.IFS(L7=4,"A+",L7=3.6,"A",L7=3.2,"B+",L7=2.8,"B",L7=2.4,"C+",L7=2,"C",L7=1.6,"D",TRUE,"NG")</f>
        <v>A</v>
      </c>
      <c r="N7" s="7">
        <f t="shared" si="0"/>
        <v>2.9999999999999996</v>
      </c>
      <c r="O7" s="7" t="str" cm="1">
        <f t="array" ref="O7">_xlfn.IFS(AND(N7&lt;=4,N7&gt;3.6),"A+",AND(N7&lt;=3.6,N7&gt;3.2),"A",AND(N7&lt;=3.2,N7&gt;2.8),"B+",AND(N7&lt;=2.8,N7&gt;2.4),"B",AND(N7&lt;=2.4,N7&gt;2),"C+",AND(N7&lt;=2,N7&gt;1.6),"C",N7=1.6,"D",TRUE,"NG")</f>
        <v>B+</v>
      </c>
      <c r="P7" s="7">
        <v>39</v>
      </c>
      <c r="Q7" s="7" cm="1">
        <f t="array" ref="Q7">_xlfn.IFS(P7/75*100&gt;=90,4,P7/75*100&gt;=80,3.6,P7/75*100&gt;=70,3.2,P7/75*100&gt;=60,2.8,P7/75*100&gt;=50,2.4,P7/75*100&gt;=40,2,P7/75*100&gt;=35,1.6,TRUE, 0)</f>
        <v>2.4</v>
      </c>
      <c r="R7" s="7" t="str" cm="1">
        <f t="array" ref="R7">_xlfn.IFS(Q7=4,"A+",Q7=3.6,"A",Q7=3.2,"B+",Q7=2.8,"B",Q7=2.4,"C+",Q7=2,"C",Q7=1.6,"D",TRUE,"NG")</f>
        <v>C+</v>
      </c>
      <c r="S7" s="7" cm="1">
        <f t="array" ref="S7">_xlfn.IFS(P7&gt;=70,25,P7&gt;=60,24,P7&gt;=50,23,P7&gt;=40,22,P7&gt;=30,21,TRUE,20)</f>
        <v>21</v>
      </c>
      <c r="T7" s="7" cm="1">
        <f t="array" ref="T7">_xlfn.IFS(S7/25*100&gt;=90,4,S7/25*100&gt;=80,3.6,S7/25*100&gt;=70,3.2,S7/25*100&gt;=60,2.8,S7/25*100&gt;=50,2.4,S7/25*100&gt;=40,2,S7/25*100&gt;=35,1.6,TRUE, 0)</f>
        <v>3.6</v>
      </c>
      <c r="U7" s="7" t="str" cm="1">
        <f t="array" ref="U7">_xlfn.IFS(T7=4,"A+",T7=3.6,"A",T7=3.2,"B+",T7=2.8,"B",T7=2.4,"C+",T7=2,"C",T7=1.6,"D",TRUE,"NG")</f>
        <v>A</v>
      </c>
      <c r="V7" s="7">
        <f t="shared" si="1"/>
        <v>2.6999999999999997</v>
      </c>
      <c r="W7" s="7" t="str" cm="1">
        <f t="array" ref="W7">_xlfn.IFS(AND(V7&lt;=4,V7&gt;3.6),"A+",AND(V7&lt;=3.6,V7&gt;3.2),"A",AND(V7&lt;=3.2,V7&gt;2.8),"B+",AND(V7&lt;=2.8,V7&gt;2.4),"B",AND(V7&lt;=2.4,V7&gt;2),"C+",AND(V7&lt;=2,V7&gt;1.6),"C",V7=1.6,"D",TRUE,"NG")</f>
        <v>B</v>
      </c>
      <c r="X7" s="7">
        <v>30</v>
      </c>
      <c r="Y7" s="7" cm="1">
        <f t="array" ref="Y7">_xlfn.IFS(X7/75*100&gt;=90,4,X7/75*100&gt;=80,3.6,X7/75*100&gt;=70,3.2,X7/75*100&gt;=60,2.8,X7/75*100&gt;=50,2.4,X7/75*100&gt;=40,2,X7/75*100&gt;=35,1.6,TRUE, 0)</f>
        <v>2</v>
      </c>
      <c r="Z7" s="7" t="str" cm="1">
        <f t="array" ref="Z7">_xlfn.IFS(Y7=4,"A+",Y7=3.6,"A",Y7=3.2,"B+",Y7=2.8,"B",Y7=2.4,"C+",Y7=2,"C",Y7=1.6,"D",TRUE,"NG")</f>
        <v>C</v>
      </c>
      <c r="AA7" s="7" cm="1">
        <f t="array" ref="AA7">_xlfn.IFS(X7&gt;=70,25,X7&gt;=60,24,X7&gt;=50,23,X7&gt;=40,22,X7&gt;=30,21,TRUE,20)</f>
        <v>21</v>
      </c>
      <c r="AB7" s="7" cm="1">
        <f t="array" ref="AB7">_xlfn.IFS(AA7/25*100&gt;=90,4,AA7/25*100&gt;=80,3.6,AA7/25*100&gt;=70,3.2,AA7/25*100&gt;=60,2.8,AA7/25*100&gt;=50,2.4,AA7/25*100&gt;=40,2,AA7/25*100&gt;=35,1.6,TRUE, 0)</f>
        <v>3.6</v>
      </c>
      <c r="AC7" s="7" t="str" cm="1">
        <f t="array" ref="AC7">_xlfn.IFS(AB7=4,"A+",AB7=3.6,"A",AB7=3.2,"B+",AB7=2.8,"B",AB7=2.4,"C+",AB7=2,"C",AB7=1.6,"D",TRUE,"NG")</f>
        <v>A</v>
      </c>
      <c r="AD7" s="7">
        <f t="shared" si="2"/>
        <v>2.4</v>
      </c>
      <c r="AE7" s="7" t="str" cm="1">
        <f t="array" ref="AE7">_xlfn.IFS(AND(AD7&lt;=4,AD7&gt;3.6),"A+",AND(AD7&lt;=3.6,AD7&gt;3.2),"A",AND(AD7&lt;=3.2,AD7&gt;2.8),"B+",AND(AD7&lt;=2.8,AD7&gt;2.4),"B",AND(AD7&lt;=2.4,AD7&gt;2),"C+",AND(AD7&lt;=2,AD7&gt;1.6),"C",AD7=1.6,"D",TRUE,"NG")</f>
        <v>C+</v>
      </c>
      <c r="AF7" s="7">
        <v>35</v>
      </c>
      <c r="AG7" s="7" cm="1">
        <f t="array" ref="AG7">_xlfn.IFS(AF7/75*100&gt;=90,4,AF7/75*100&gt;=80,3.6,AF7/75*100&gt;=70,3.2,AF7/75*100&gt;=60,2.8,AF7/75*100&gt;=50,2.4,AF7/75*100&gt;=40,2,AF7/75*100&gt;=35,1.6,TRUE, 0)</f>
        <v>2</v>
      </c>
      <c r="AH7" s="7" t="str" cm="1">
        <f t="array" ref="AH7">_xlfn.IFS(AG7=4,"A+",AG7=3.6,"A",AG7=3.2,"B+",AG7=2.8,"B",AG7=2.4,"C+",AG7=2,"C",AG7=1.6,"D",TRUE,"NG")</f>
        <v>C</v>
      </c>
      <c r="AI7" s="7" cm="1">
        <f t="array" ref="AI7">_xlfn.IFS(AF7&gt;=70,25,AF7&gt;=60,24,AF7&gt;=50,23,AF7&gt;=40,22,AF7&gt;=30,21,TRUE,20)</f>
        <v>21</v>
      </c>
      <c r="AJ7" s="7" cm="1">
        <f t="array" ref="AJ7">_xlfn.IFS(AI7/25*100&gt;=90,4,AI7/25*100&gt;=80,3.6,AI7/25*100&gt;=70,3.2,AI7/25*100&gt;=60,2.8,AI7/25*100&gt;=50,2.4,AI7/25*100&gt;=40,2,AI7/25*100&gt;=35,1.6,TRUE, 0)</f>
        <v>3.6</v>
      </c>
      <c r="AK7" s="7" t="str" cm="1">
        <f t="array" ref="AK7">_xlfn.IFS(AJ7=4,"A+",AJ7=3.6,"A",AJ7=3.2,"B+",AJ7=2.8,"B",AJ7=2.4,"C+",AJ7=2,"C",AJ7=1.6,"D",TRUE,"NG")</f>
        <v>A</v>
      </c>
      <c r="AL7" s="7">
        <f t="shared" si="3"/>
        <v>2.4</v>
      </c>
      <c r="AM7" s="7" t="str" cm="1">
        <f t="array" ref="AM7">_xlfn.IFS(AND(AL7&lt;=4,AL7&gt;3.6),"A+",AND(AL7&lt;=3.6,AL7&gt;3.2),"A",AND(AL7&lt;=3.2,AL7&gt;2.8),"B+",AND(AL7&lt;=2.8,AL7&gt;2.4),"B",AND(AL7&lt;=2.4,AL7&gt;2),"C+",AND(AL7&lt;=2,AL7&gt;1.6),"C",AL7=1.6,"D",TRUE,"NG")</f>
        <v>C+</v>
      </c>
      <c r="AN7" s="7">
        <v>27</v>
      </c>
      <c r="AO7" s="7" cm="1">
        <f t="array" ref="AO7">_xlfn.IFS(AN7/75*100&gt;=90,4,AN7/75*100&gt;=80,3.6,AN7/75*100&gt;=70,3.2,AN7/75*100&gt;=60,2.8,AN7/75*100&gt;=50,2.4,AN7/75*100&gt;=40,2,AN7/75*100&gt;=35,1.6,TRUE, 0)</f>
        <v>1.6</v>
      </c>
      <c r="AP7" s="7" t="str" cm="1">
        <f t="array" ref="AP7">_xlfn.IFS(AO7=4,"A+",AO7=3.6,"A",AO7=3.2,"B+",AO7=2.8,"B",AO7=2.4,"C+",AO7=2,"C",AO7=1.6,"D",TRUE,"NG")</f>
        <v>D</v>
      </c>
      <c r="AQ7" s="7" cm="1">
        <f t="array" ref="AQ7">_xlfn.IFS(AN7&gt;=70,25,AN7&gt;=60,24,AN7&gt;=50,23,AN7&gt;=40,22,AN7&gt;=30,21,TRUE,20)</f>
        <v>20</v>
      </c>
      <c r="AR7" s="7" cm="1">
        <f t="array" ref="AR7">_xlfn.IFS(AQ7/25*100&gt;=90,4,AQ7/25*100&gt;=80,3.6,AQ7/25*100&gt;=70,3.2,AQ7/25*100&gt;=60,2.8,AQ7/25*100&gt;=50,2.4,AQ7/25*100&gt;=40,2,AQ7/25*100&gt;=35,1.6,TRUE, 0)</f>
        <v>3.6</v>
      </c>
      <c r="AS7" s="7" t="str" cm="1">
        <f t="array" ref="AS7">_xlfn.IFS(AR7=4,"A+",AR7=3.6,"A",AR7=3.2,"B+",AR7=2.8,"B",AR7=2.4,"C+",AR7=2,"C",AR7=1.6,"D",TRUE,"NG")</f>
        <v>A</v>
      </c>
      <c r="AT7" s="7">
        <f t="shared" si="4"/>
        <v>2.1</v>
      </c>
      <c r="AU7" s="7" t="str" cm="1">
        <f t="array" ref="AU7">_xlfn.IFS(AND(AT7&lt;=4,AT7&gt;3.6),"A+",AND(AT7&lt;=3.6,AT7&gt;3.2),"A",AND(AT7&lt;=3.2,AT7&gt;2.8),"B+",AND(AT7&lt;=2.8,AT7&gt;2.4),"B",AND(AT7&lt;=2.4,AT7&gt;2),"C+",AND(AT7&lt;=2,AT7&gt;1.6),"C",AT7=1.6,"D",TRUE,"NG")</f>
        <v>C+</v>
      </c>
      <c r="AV7" s="7">
        <v>32</v>
      </c>
      <c r="AW7" s="7" cm="1">
        <f t="array" ref="AW7">IF(E7="BS",(_xlfn.IFS(AV7/75*100&gt;=90,4,AV7/75*100&gt;=80,3.6,AV7/75*100&gt;=70,3.2,AV7/75*100&gt;=60,2.8,AV7/75*100&gt;=50,2.4,AV7/75*100&gt;=40,2,AV7/75*100&gt;=35,1.6,TRUE, 0)),(_xlfn.IFS(AV7/50*100&gt;=90,4,AV7/50*100&gt;=80,3.6,AV7/50*100&gt;=70,3.2,AV7/50*100&gt;=60,2.8,AV7/50*100&gt;=50,2.4,AV7/50*100&gt;=40,2,AV7/50*100&gt;=35,1.6,TRUE, 0)))</f>
        <v>2</v>
      </c>
      <c r="AX7" s="7" t="str" cm="1">
        <f t="array" ref="AX7">_xlfn.IFS(AW7="-","-",AW7=4,"A+",AW7=3.6,"A",AW7=3.2,"B+",AW7=2.8,"B",AW7=2.4,"C+",AW7=2,"C",AW7=1.6,"D",TRUE,"NG")</f>
        <v>C</v>
      </c>
      <c r="AY7" s="7" cm="1">
        <f t="array" ref="AY7">IF(E7="BS",(_xlfn.IFS(AV7&gt;=70,25,AV7&gt;=60,24,AV7&gt;=50,23,AV7&gt;=40,22,AV7&gt;=30,21,TRUE,20)),(_xlfn.IFS(AV7&gt;=45,48,AV7&gt;=40,46,AV7&gt;=35,44,AV7&gt;=30,40,AV7&gt;=25,38,TRUE,20)))</f>
        <v>21</v>
      </c>
      <c r="AZ7" s="7" cm="1">
        <f t="array" ref="AZ7">IF(E7="BS",(_xlfn.IFS(AY7/25*100&gt;=90,4,AY7/25*100&gt;=80,3.6,AY7/25*100&gt;=70,3.2,AY7/25*100&gt;=60,2.8,AY7/25*100&gt;=50,2.4,AY7/25*100&gt;=40,2,AY7/25*100&gt;=35,1.6,TRUE, 0)),(_xlfn.IFS(AY7/50*100&gt;=90,4,AY7/50*100&gt;=80,3.6,AY7/50*100&gt;=70,3.2,AY7/50*100&gt;=60,2.8,AY7/50*100&gt;=50,2.4,AY7/50*100&gt;=40,2,AY7/50*100&gt;=35,1.6,TRUE, 0)))</f>
        <v>3.6</v>
      </c>
      <c r="BA7" s="7" t="str" cm="1">
        <f t="array" ref="BA7">_xlfn.IFS(AZ7="-","-",AZ7=4,"A+",AZ7=3.6,"A",AZ7=3.2,"B+",AZ7=2.8,"B",AZ7=2.4,"C+",AZ7=2,"C",AZ7=1.6,"D",TRUE,"NG")</f>
        <v>A</v>
      </c>
      <c r="BB7" s="7">
        <f>IF(E7="BS",(AW7*3.75+AZ7*1.25)/5,(AW7*2.5+AZ7*2.5)/5)</f>
        <v>2.4</v>
      </c>
      <c r="BC7" s="7" t="str" cm="1">
        <f t="array" ref="BC7">_xlfn.IFS(BB7="-","-",AND(BB7&lt;=4,BB7&gt;3.6),"A+",AND(BB7&lt;=3.6,BB7&gt;3.2),"A",AND(BB7&lt;=3.2,BB7&gt;2.8),"B+",AND(BB7&lt;=2.8,BB7&gt;2.4),"B",AND(BB7&lt;=2.4,BB7&gt;2),"C+",AND(BB7&lt;=2,BB7&gt;1.6),"C",BB7=1.6,"D",TRUE,"NG")</f>
        <v>C+</v>
      </c>
      <c r="BD7" s="12">
        <f>IF(E7="BS",(((I7*3+L7*1)+(Q7*2.25+T7*0.75)+(Y7*3.75+AB7*1.25)+(AG7*3.75+AJ7*1.25)+(AO7*3.75+AR7*1.25)+(AW7*3.75+AZ7*1.25))/(4+3+5*4)),(((I7*3+L7*1)+(Q7*2.25+T7*0.75)+(Y7*3.75+AB7*1.25)+(AG7*3.75+AJ7*1.25)+(AO7*3.75+AR7*1.25)+(AW7*2.5+AZ7*2.5))/(4+3+5*4)))</f>
        <v>2.4666666666666663</v>
      </c>
    </row>
    <row r="8" spans="1:56" x14ac:dyDescent="0.3">
      <c r="A8" s="2">
        <v>7</v>
      </c>
      <c r="B8" s="16">
        <v>793270280036</v>
      </c>
      <c r="C8" s="17">
        <v>12706887</v>
      </c>
      <c r="D8" s="3" t="s">
        <v>270</v>
      </c>
      <c r="E8" s="7" t="s">
        <v>56</v>
      </c>
      <c r="F8" s="20" t="s">
        <v>343</v>
      </c>
      <c r="G8" s="3" t="s">
        <v>308</v>
      </c>
      <c r="H8" s="7">
        <v>51</v>
      </c>
      <c r="I8" s="7" cm="1">
        <f t="array" ref="I8">_xlfn.IFS(H8/75*100&gt;=90,4,H8/75*100&gt;=80,3.6,H8/75*100&gt;=70,3.2,H8/75*100&gt;=60,2.8,H8/75*100&gt;=50,2.4,H8/75*100&gt;=40,2,H8/75*100&gt;=35,1.6,TRUE, 0)</f>
        <v>2.8</v>
      </c>
      <c r="J8" s="7" t="str" cm="1">
        <f t="array" ref="J8">_xlfn.IFS(I8=4,"A+",I8=3.6,"A",I8=3.2,"B+",I8=2.8,"B",I8=2.4,"C+",I8=2,"C",I8=1.6,"D",TRUE,"NG")</f>
        <v>B</v>
      </c>
      <c r="K8" s="7" cm="1">
        <f t="array" ref="K8">_xlfn.IFS(H8&gt;=70,25,H8&gt;=60,24,H8&gt;=50,23,H8&gt;=40,22,H8&gt;=30,21,TRUE,20)</f>
        <v>23</v>
      </c>
      <c r="L8" s="7" cm="1">
        <f t="array" ref="L8">_xlfn.IFS(K8/25*100&gt;=90,4,K8/25*100&gt;=80,3.6,K8/25*100&gt;=70,3.2,K8/25*100&gt;=60,2.8,K8/25*100&gt;=50,2.4,K8/25*100&gt;=40,2,K8/25*100&gt;=35,1.6,TRUE, 0)</f>
        <v>4</v>
      </c>
      <c r="M8" s="7" t="str" cm="1">
        <f t="array" ref="M8">_xlfn.IFS(L8=4,"A+",L8=3.6,"A",L8=3.2,"B+",L8=2.8,"B",L8=2.4,"C+",L8=2,"C",L8=1.6,"D",TRUE,"NG")</f>
        <v>A+</v>
      </c>
      <c r="N8" s="7">
        <f t="shared" si="0"/>
        <v>3.0999999999999996</v>
      </c>
      <c r="O8" s="7" t="str" cm="1">
        <f t="array" ref="O8">_xlfn.IFS(AND(N8&lt;=4,N8&gt;3.6),"A+",AND(N8&lt;=3.6,N8&gt;3.2),"A",AND(N8&lt;=3.2,N8&gt;2.8),"B+",AND(N8&lt;=2.8,N8&gt;2.4),"B",AND(N8&lt;=2.4,N8&gt;2),"C+",AND(N8&lt;=2,N8&gt;1.6),"C",N8=1.6,"D",TRUE,"NG")</f>
        <v>B+</v>
      </c>
      <c r="P8" s="7">
        <v>43</v>
      </c>
      <c r="Q8" s="7" cm="1">
        <f t="array" ref="Q8">_xlfn.IFS(P8/75*100&gt;=90,4,P8/75*100&gt;=80,3.6,P8/75*100&gt;=70,3.2,P8/75*100&gt;=60,2.8,P8/75*100&gt;=50,2.4,P8/75*100&gt;=40,2,P8/75*100&gt;=35,1.6,TRUE, 0)</f>
        <v>2.4</v>
      </c>
      <c r="R8" s="7" t="str" cm="1">
        <f t="array" ref="R8">_xlfn.IFS(Q8=4,"A+",Q8=3.6,"A",Q8=3.2,"B+",Q8=2.8,"B",Q8=2.4,"C+",Q8=2,"C",Q8=1.6,"D",TRUE,"NG")</f>
        <v>C+</v>
      </c>
      <c r="S8" s="7" cm="1">
        <f t="array" ref="S8">_xlfn.IFS(P8&gt;=70,25,P8&gt;=60,24,P8&gt;=50,23,P8&gt;=40,22,P8&gt;=30,21,TRUE,20)</f>
        <v>22</v>
      </c>
      <c r="T8" s="7" cm="1">
        <f t="array" ref="T8">_xlfn.IFS(S8/25*100&gt;=90,4,S8/25*100&gt;=80,3.6,S8/25*100&gt;=70,3.2,S8/25*100&gt;=60,2.8,S8/25*100&gt;=50,2.4,S8/25*100&gt;=40,2,S8/25*100&gt;=35,1.6,TRUE, 0)</f>
        <v>3.6</v>
      </c>
      <c r="U8" s="7" t="str" cm="1">
        <f t="array" ref="U8">_xlfn.IFS(T8=4,"A+",T8=3.6,"A",T8=3.2,"B+",T8=2.8,"B",T8=2.4,"C+",T8=2,"C",T8=1.6,"D",TRUE,"NG")</f>
        <v>A</v>
      </c>
      <c r="V8" s="7">
        <f t="shared" si="1"/>
        <v>2.6999999999999997</v>
      </c>
      <c r="W8" s="7" t="str" cm="1">
        <f t="array" ref="W8">_xlfn.IFS(AND(V8&lt;=4,V8&gt;3.6),"A+",AND(V8&lt;=3.6,V8&gt;3.2),"A",AND(V8&lt;=3.2,V8&gt;2.8),"B+",AND(V8&lt;=2.8,V8&gt;2.4),"B",AND(V8&lt;=2.4,V8&gt;2),"C+",AND(V8&lt;=2,V8&gt;1.6),"C",V8=1.6,"D",TRUE,"NG")</f>
        <v>B</v>
      </c>
      <c r="X8" s="7">
        <v>39</v>
      </c>
      <c r="Y8" s="7" cm="1">
        <f t="array" ref="Y8">_xlfn.IFS(X8/75*100&gt;=90,4,X8/75*100&gt;=80,3.6,X8/75*100&gt;=70,3.2,X8/75*100&gt;=60,2.8,X8/75*100&gt;=50,2.4,X8/75*100&gt;=40,2,X8/75*100&gt;=35,1.6,TRUE, 0)</f>
        <v>2.4</v>
      </c>
      <c r="Z8" s="7" t="str" cm="1">
        <f t="array" ref="Z8">_xlfn.IFS(Y8=4,"A+",Y8=3.6,"A",Y8=3.2,"B+",Y8=2.8,"B",Y8=2.4,"C+",Y8=2,"C",Y8=1.6,"D",TRUE,"NG")</f>
        <v>C+</v>
      </c>
      <c r="AA8" s="7" cm="1">
        <f t="array" ref="AA8">_xlfn.IFS(X8&gt;=70,25,X8&gt;=60,24,X8&gt;=50,23,X8&gt;=40,22,X8&gt;=30,21,TRUE,20)</f>
        <v>21</v>
      </c>
      <c r="AB8" s="7" cm="1">
        <f t="array" ref="AB8">_xlfn.IFS(AA8/25*100&gt;=90,4,AA8/25*100&gt;=80,3.6,AA8/25*100&gt;=70,3.2,AA8/25*100&gt;=60,2.8,AA8/25*100&gt;=50,2.4,AA8/25*100&gt;=40,2,AA8/25*100&gt;=35,1.6,TRUE, 0)</f>
        <v>3.6</v>
      </c>
      <c r="AC8" s="7" t="str" cm="1">
        <f t="array" ref="AC8">_xlfn.IFS(AB8=4,"A+",AB8=3.6,"A",AB8=3.2,"B+",AB8=2.8,"B",AB8=2.4,"C+",AB8=2,"C",AB8=1.6,"D",TRUE,"NG")</f>
        <v>A</v>
      </c>
      <c r="AD8" s="7">
        <f t="shared" si="2"/>
        <v>2.7</v>
      </c>
      <c r="AE8" s="7" t="str" cm="1">
        <f t="array" ref="AE8">_xlfn.IFS(AND(AD8&lt;=4,AD8&gt;3.6),"A+",AND(AD8&lt;=3.6,AD8&gt;3.2),"A",AND(AD8&lt;=3.2,AD8&gt;2.8),"B+",AND(AD8&lt;=2.8,AD8&gt;2.4),"B",AND(AD8&lt;=2.4,AD8&gt;2),"C+",AND(AD8&lt;=2,AD8&gt;1.6),"C",AD8=1.6,"D",TRUE,"NG")</f>
        <v>B</v>
      </c>
      <c r="AF8" s="7">
        <v>47</v>
      </c>
      <c r="AG8" s="7" cm="1">
        <f t="array" ref="AG8">_xlfn.IFS(AF8/75*100&gt;=90,4,AF8/75*100&gt;=80,3.6,AF8/75*100&gt;=70,3.2,AF8/75*100&gt;=60,2.8,AF8/75*100&gt;=50,2.4,AF8/75*100&gt;=40,2,AF8/75*100&gt;=35,1.6,TRUE, 0)</f>
        <v>2.8</v>
      </c>
      <c r="AH8" s="7" t="str" cm="1">
        <f t="array" ref="AH8">_xlfn.IFS(AG8=4,"A+",AG8=3.6,"A",AG8=3.2,"B+",AG8=2.8,"B",AG8=2.4,"C+",AG8=2,"C",AG8=1.6,"D",TRUE,"NG")</f>
        <v>B</v>
      </c>
      <c r="AI8" s="7" cm="1">
        <f t="array" ref="AI8">_xlfn.IFS(AF8&gt;=70,25,AF8&gt;=60,24,AF8&gt;=50,23,AF8&gt;=40,22,AF8&gt;=30,21,TRUE,20)</f>
        <v>22</v>
      </c>
      <c r="AJ8" s="7" cm="1">
        <f t="array" ref="AJ8">_xlfn.IFS(AI8/25*100&gt;=90,4,AI8/25*100&gt;=80,3.6,AI8/25*100&gt;=70,3.2,AI8/25*100&gt;=60,2.8,AI8/25*100&gt;=50,2.4,AI8/25*100&gt;=40,2,AI8/25*100&gt;=35,1.6,TRUE, 0)</f>
        <v>3.6</v>
      </c>
      <c r="AK8" s="7" t="str" cm="1">
        <f t="array" ref="AK8">_xlfn.IFS(AJ8=4,"A+",AJ8=3.6,"A",AJ8=3.2,"B+",AJ8=2.8,"B",AJ8=2.4,"C+",AJ8=2,"C",AJ8=1.6,"D",TRUE,"NG")</f>
        <v>A</v>
      </c>
      <c r="AL8" s="7">
        <f t="shared" si="3"/>
        <v>3</v>
      </c>
      <c r="AM8" s="7" t="str" cm="1">
        <f t="array" ref="AM8">_xlfn.IFS(AND(AL8&lt;=4,AL8&gt;3.6),"A+",AND(AL8&lt;=3.6,AL8&gt;3.2),"A",AND(AL8&lt;=3.2,AL8&gt;2.8),"B+",AND(AL8&lt;=2.8,AL8&gt;2.4),"B",AND(AL8&lt;=2.4,AL8&gt;2),"C+",AND(AL8&lt;=2,AL8&gt;1.6),"C",AL8=1.6,"D",TRUE,"NG")</f>
        <v>B+</v>
      </c>
      <c r="AN8" s="7">
        <v>41</v>
      </c>
      <c r="AO8" s="7" cm="1">
        <f t="array" ref="AO8">_xlfn.IFS(AN8/75*100&gt;=90,4,AN8/75*100&gt;=80,3.6,AN8/75*100&gt;=70,3.2,AN8/75*100&gt;=60,2.8,AN8/75*100&gt;=50,2.4,AN8/75*100&gt;=40,2,AN8/75*100&gt;=35,1.6,TRUE, 0)</f>
        <v>2.4</v>
      </c>
      <c r="AP8" s="7" t="str" cm="1">
        <f t="array" ref="AP8">_xlfn.IFS(AO8=4,"A+",AO8=3.6,"A",AO8=3.2,"B+",AO8=2.8,"B",AO8=2.4,"C+",AO8=2,"C",AO8=1.6,"D",TRUE,"NG")</f>
        <v>C+</v>
      </c>
      <c r="AQ8" s="7" cm="1">
        <f t="array" ref="AQ8">_xlfn.IFS(AN8&gt;=70,25,AN8&gt;=60,24,AN8&gt;=50,23,AN8&gt;=40,22,AN8&gt;=30,21,TRUE,20)</f>
        <v>22</v>
      </c>
      <c r="AR8" s="7" cm="1">
        <f t="array" ref="AR8">_xlfn.IFS(AQ8/25*100&gt;=90,4,AQ8/25*100&gt;=80,3.6,AQ8/25*100&gt;=70,3.2,AQ8/25*100&gt;=60,2.8,AQ8/25*100&gt;=50,2.4,AQ8/25*100&gt;=40,2,AQ8/25*100&gt;=35,1.6,TRUE, 0)</f>
        <v>3.6</v>
      </c>
      <c r="AS8" s="7" t="str" cm="1">
        <f t="array" ref="AS8">_xlfn.IFS(AR8=4,"A+",AR8=3.6,"A",AR8=3.2,"B+",AR8=2.8,"B",AR8=2.4,"C+",AR8=2,"C",AR8=1.6,"D",TRUE,"NG")</f>
        <v>A</v>
      </c>
      <c r="AT8" s="7">
        <f t="shared" si="4"/>
        <v>2.7</v>
      </c>
      <c r="AU8" s="7" t="str" cm="1">
        <f t="array" ref="AU8">_xlfn.IFS(AND(AT8&lt;=4,AT8&gt;3.6),"A+",AND(AT8&lt;=3.6,AT8&gt;3.2),"A",AND(AT8&lt;=3.2,AT8&gt;2.8),"B+",AND(AT8&lt;=2.8,AT8&gt;2.4),"B",AND(AT8&lt;=2.4,AT8&gt;2),"C+",AND(AT8&lt;=2,AT8&gt;1.6),"C",AT8=1.6,"D",TRUE,"NG")</f>
        <v>B</v>
      </c>
      <c r="AV8" s="7">
        <v>51</v>
      </c>
      <c r="AW8" s="7" cm="1">
        <f t="array" ref="AW8">IF(E8="BS",(_xlfn.IFS(AV8/75*100&gt;=90,4,AV8/75*100&gt;=80,3.6,AV8/75*100&gt;=70,3.2,AV8/75*100&gt;=60,2.8,AV8/75*100&gt;=50,2.4,AV8/75*100&gt;=40,2,AV8/75*100&gt;=35,1.6,TRUE, 0)),(_xlfn.IFS(AV8/50*100&gt;=90,4,AV8/50*100&gt;=80,3.6,AV8/50*100&gt;=70,3.2,AV8/50*100&gt;=60,2.8,AV8/50*100&gt;=50,2.4,AV8/50*100&gt;=40,2,AV8/50*100&gt;=35,1.6,TRUE, 0)))</f>
        <v>2.8</v>
      </c>
      <c r="AX8" s="7" t="str" cm="1">
        <f t="array" ref="AX8">_xlfn.IFS(AW8="-","-",AW8=4,"A+",AW8=3.6,"A",AW8=3.2,"B+",AW8=2.8,"B",AW8=2.4,"C+",AW8=2,"C",AW8=1.6,"D",TRUE,"NG")</f>
        <v>B</v>
      </c>
      <c r="AY8" s="7" cm="1">
        <f t="array" ref="AY8">IF(E8="BS",(_xlfn.IFS(AV8&gt;=70,25,AV8&gt;=60,24,AV8&gt;=50,23,AV8&gt;=40,22,AV8&gt;=30,21,TRUE,20)),(_xlfn.IFS(AV8&gt;=45,48,AV8&gt;=40,46,AV8&gt;=35,44,AV8&gt;=30,40,AV8&gt;=25,38,TRUE,20)))</f>
        <v>23</v>
      </c>
      <c r="AZ8" s="7" cm="1">
        <f t="array" ref="AZ8">IF(E8="BS",(_xlfn.IFS(AY8/25*100&gt;=90,4,AY8/25*100&gt;=80,3.6,AY8/25*100&gt;=70,3.2,AY8/25*100&gt;=60,2.8,AY8/25*100&gt;=50,2.4,AY8/25*100&gt;=40,2,AY8/25*100&gt;=35,1.6,TRUE, 0)),(_xlfn.IFS(AY8/50*100&gt;=90,4,AY8/50*100&gt;=80,3.6,AY8/50*100&gt;=70,3.2,AY8/50*100&gt;=60,2.8,AY8/50*100&gt;=50,2.4,AY8/50*100&gt;=40,2,AY8/50*100&gt;=35,1.6,TRUE, 0)))</f>
        <v>4</v>
      </c>
      <c r="BA8" s="7" t="str" cm="1">
        <f t="array" ref="BA8">_xlfn.IFS(AZ8="-","-",AZ8=4,"A+",AZ8=3.6,"A",AZ8=3.2,"B+",AZ8=2.8,"B",AZ8=2.4,"C+",AZ8=2,"C",AZ8=1.6,"D",TRUE,"NG")</f>
        <v>A+</v>
      </c>
      <c r="BB8" s="7">
        <f>IF(E8="BS",(AW8*3.75+AZ8*1.25)/5,(AW8*2.5+AZ8*2.5)/5)</f>
        <v>3.1</v>
      </c>
      <c r="BC8" s="7" t="str" cm="1">
        <f t="array" ref="BC8">_xlfn.IFS(BB8="-","-",AND(BB8&lt;=4,BB8&gt;3.6),"A+",AND(BB8&lt;=3.6,BB8&gt;3.2),"A",AND(BB8&lt;=3.2,BB8&gt;2.8),"B+",AND(BB8&lt;=2.8,BB8&gt;2.4),"B",AND(BB8&lt;=2.4,BB8&gt;2),"C+",AND(BB8&lt;=2,BB8&gt;1.6),"C",BB8=1.6,"D",TRUE,"NG")</f>
        <v>B+</v>
      </c>
      <c r="BD8" s="12">
        <f>IF(E8="BS",(((I8*3+L8*1)+(Q8*2.25+T8*0.75)+(Y8*3.75+AB8*1.25)+(AG8*3.75+AJ8*1.25)+(AO8*3.75+AR8*1.25)+(AW8*3.75+AZ8*1.25))/(4+3+5*4)),(((I8*3+L8*1)+(Q8*2.25+T8*0.75)+(Y8*3.75+AB8*1.25)+(AG8*3.75+AJ8*1.25)+(AO8*3.75+AR8*1.25)+(AW8*2.5+AZ8*2.5))/(4+3+5*4)))</f>
        <v>2.8888888888888888</v>
      </c>
    </row>
    <row r="9" spans="1:56" x14ac:dyDescent="0.3">
      <c r="A9" s="2">
        <v>8</v>
      </c>
      <c r="B9" s="16">
        <v>793270280043</v>
      </c>
      <c r="C9" s="17">
        <v>12706894</v>
      </c>
      <c r="D9" s="3" t="s">
        <v>271</v>
      </c>
      <c r="E9" s="7" t="s">
        <v>56</v>
      </c>
      <c r="F9" s="20" t="s">
        <v>344</v>
      </c>
      <c r="G9" s="3" t="s">
        <v>309</v>
      </c>
      <c r="H9" s="7">
        <v>33</v>
      </c>
      <c r="I9" s="7" cm="1">
        <f t="array" ref="I9">_xlfn.IFS(H9/75*100&gt;=90,4,H9/75*100&gt;=80,3.6,H9/75*100&gt;=70,3.2,H9/75*100&gt;=60,2.8,H9/75*100&gt;=50,2.4,H9/75*100&gt;=40,2,H9/75*100&gt;=35,1.6,TRUE, 0)</f>
        <v>2</v>
      </c>
      <c r="J9" s="7" t="str" cm="1">
        <f t="array" ref="J9">_xlfn.IFS(I9=4,"A+",I9=3.6,"A",I9=3.2,"B+",I9=2.8,"B",I9=2.4,"C+",I9=2,"C",I9=1.6,"D",TRUE,"NG")</f>
        <v>C</v>
      </c>
      <c r="K9" s="7" cm="1">
        <f t="array" ref="K9">_xlfn.IFS(H9&gt;=70,25,H9&gt;=60,24,H9&gt;=50,23,H9&gt;=40,22,H9&gt;=30,21,TRUE,20)</f>
        <v>21</v>
      </c>
      <c r="L9" s="7" cm="1">
        <f t="array" ref="L9">_xlfn.IFS(K9/25*100&gt;=90,4,K9/25*100&gt;=80,3.6,K9/25*100&gt;=70,3.2,K9/25*100&gt;=60,2.8,K9/25*100&gt;=50,2.4,K9/25*100&gt;=40,2,K9/25*100&gt;=35,1.6,TRUE, 0)</f>
        <v>3.6</v>
      </c>
      <c r="M9" s="7" t="str" cm="1">
        <f t="array" ref="M9">_xlfn.IFS(L9=4,"A+",L9=3.6,"A",L9=3.2,"B+",L9=2.8,"B",L9=2.4,"C+",L9=2,"C",L9=1.6,"D",TRUE,"NG")</f>
        <v>A</v>
      </c>
      <c r="N9" s="7">
        <f t="shared" si="0"/>
        <v>2.4</v>
      </c>
      <c r="O9" s="7" t="str" cm="1">
        <f t="array" ref="O9">_xlfn.IFS(AND(N9&lt;=4,N9&gt;3.6),"A+",AND(N9&lt;=3.6,N9&gt;3.2),"A",AND(N9&lt;=3.2,N9&gt;2.8),"B+",AND(N9&lt;=2.8,N9&gt;2.4),"B",AND(N9&lt;=2.4,N9&gt;2),"C+",AND(N9&lt;=2,N9&gt;1.6),"C",N9=1.6,"D",TRUE,"NG")</f>
        <v>C+</v>
      </c>
      <c r="P9" s="7">
        <v>32</v>
      </c>
      <c r="Q9" s="7" cm="1">
        <f t="array" ref="Q9">_xlfn.IFS(P9/75*100&gt;=90,4,P9/75*100&gt;=80,3.6,P9/75*100&gt;=70,3.2,P9/75*100&gt;=60,2.8,P9/75*100&gt;=50,2.4,P9/75*100&gt;=40,2,P9/75*100&gt;=35,1.6,TRUE, 0)</f>
        <v>2</v>
      </c>
      <c r="R9" s="7" t="str" cm="1">
        <f t="array" ref="R9">_xlfn.IFS(Q9=4,"A+",Q9=3.6,"A",Q9=3.2,"B+",Q9=2.8,"B",Q9=2.4,"C+",Q9=2,"C",Q9=1.6,"D",TRUE,"NG")</f>
        <v>C</v>
      </c>
      <c r="S9" s="7" cm="1">
        <f t="array" ref="S9">_xlfn.IFS(P9&gt;=70,25,P9&gt;=60,24,P9&gt;=50,23,P9&gt;=40,22,P9&gt;=30,21,TRUE,20)</f>
        <v>21</v>
      </c>
      <c r="T9" s="7" cm="1">
        <f t="array" ref="T9">_xlfn.IFS(S9/25*100&gt;=90,4,S9/25*100&gt;=80,3.6,S9/25*100&gt;=70,3.2,S9/25*100&gt;=60,2.8,S9/25*100&gt;=50,2.4,S9/25*100&gt;=40,2,S9/25*100&gt;=35,1.6,TRUE, 0)</f>
        <v>3.6</v>
      </c>
      <c r="U9" s="7" t="str" cm="1">
        <f t="array" ref="U9">_xlfn.IFS(T9=4,"A+",T9=3.6,"A",T9=3.2,"B+",T9=2.8,"B",T9=2.4,"C+",T9=2,"C",T9=1.6,"D",TRUE,"NG")</f>
        <v>A</v>
      </c>
      <c r="V9" s="7">
        <f t="shared" si="1"/>
        <v>2.4</v>
      </c>
      <c r="W9" s="7" t="str" cm="1">
        <f t="array" ref="W9">_xlfn.IFS(AND(V9&lt;=4,V9&gt;3.6),"A+",AND(V9&lt;=3.6,V9&gt;3.2),"A",AND(V9&lt;=3.2,V9&gt;2.8),"B+",AND(V9&lt;=2.8,V9&gt;2.4),"B",AND(V9&lt;=2.4,V9&gt;2),"C+",AND(V9&lt;=2,V9&gt;1.6),"C",V9=1.6,"D",TRUE,"NG")</f>
        <v>C+</v>
      </c>
      <c r="X9" s="7">
        <v>32</v>
      </c>
      <c r="Y9" s="7" cm="1">
        <f t="array" ref="Y9">_xlfn.IFS(X9/75*100&gt;=90,4,X9/75*100&gt;=80,3.6,X9/75*100&gt;=70,3.2,X9/75*100&gt;=60,2.8,X9/75*100&gt;=50,2.4,X9/75*100&gt;=40,2,X9/75*100&gt;=35,1.6,TRUE, 0)</f>
        <v>2</v>
      </c>
      <c r="Z9" s="7" t="str" cm="1">
        <f t="array" ref="Z9">_xlfn.IFS(Y9=4,"A+",Y9=3.6,"A",Y9=3.2,"B+",Y9=2.8,"B",Y9=2.4,"C+",Y9=2,"C",Y9=1.6,"D",TRUE,"NG")</f>
        <v>C</v>
      </c>
      <c r="AA9" s="7" cm="1">
        <f t="array" ref="AA9">_xlfn.IFS(X9&gt;=70,25,X9&gt;=60,24,X9&gt;=50,23,X9&gt;=40,22,X9&gt;=30,21,TRUE,20)</f>
        <v>21</v>
      </c>
      <c r="AB9" s="7" cm="1">
        <f t="array" ref="AB9">_xlfn.IFS(AA9/25*100&gt;=90,4,AA9/25*100&gt;=80,3.6,AA9/25*100&gt;=70,3.2,AA9/25*100&gt;=60,2.8,AA9/25*100&gt;=50,2.4,AA9/25*100&gt;=40,2,AA9/25*100&gt;=35,1.6,TRUE, 0)</f>
        <v>3.6</v>
      </c>
      <c r="AC9" s="7" t="str" cm="1">
        <f t="array" ref="AC9">_xlfn.IFS(AB9=4,"A+",AB9=3.6,"A",AB9=3.2,"B+",AB9=2.8,"B",AB9=2.4,"C+",AB9=2,"C",AB9=1.6,"D",TRUE,"NG")</f>
        <v>A</v>
      </c>
      <c r="AD9" s="7">
        <f t="shared" si="2"/>
        <v>2.4</v>
      </c>
      <c r="AE9" s="7" t="str" cm="1">
        <f t="array" ref="AE9">_xlfn.IFS(AND(AD9&lt;=4,AD9&gt;3.6),"A+",AND(AD9&lt;=3.6,AD9&gt;3.2),"A",AND(AD9&lt;=3.2,AD9&gt;2.8),"B+",AND(AD9&lt;=2.8,AD9&gt;2.4),"B",AND(AD9&lt;=2.4,AD9&gt;2),"C+",AND(AD9&lt;=2,AD9&gt;1.6),"C",AD9=1.6,"D",TRUE,"NG")</f>
        <v>C+</v>
      </c>
      <c r="AF9" s="7">
        <v>35</v>
      </c>
      <c r="AG9" s="7" cm="1">
        <f t="array" ref="AG9">_xlfn.IFS(AF9/75*100&gt;=90,4,AF9/75*100&gt;=80,3.6,AF9/75*100&gt;=70,3.2,AF9/75*100&gt;=60,2.8,AF9/75*100&gt;=50,2.4,AF9/75*100&gt;=40,2,AF9/75*100&gt;=35,1.6,TRUE, 0)</f>
        <v>2</v>
      </c>
      <c r="AH9" s="7" t="str" cm="1">
        <f t="array" ref="AH9">_xlfn.IFS(AG9=4,"A+",AG9=3.6,"A",AG9=3.2,"B+",AG9=2.8,"B",AG9=2.4,"C+",AG9=2,"C",AG9=1.6,"D",TRUE,"NG")</f>
        <v>C</v>
      </c>
      <c r="AI9" s="7" cm="1">
        <f t="array" ref="AI9">_xlfn.IFS(AF9&gt;=70,25,AF9&gt;=60,24,AF9&gt;=50,23,AF9&gt;=40,22,AF9&gt;=30,21,TRUE,20)</f>
        <v>21</v>
      </c>
      <c r="AJ9" s="7" cm="1">
        <f t="array" ref="AJ9">_xlfn.IFS(AI9/25*100&gt;=90,4,AI9/25*100&gt;=80,3.6,AI9/25*100&gt;=70,3.2,AI9/25*100&gt;=60,2.8,AI9/25*100&gt;=50,2.4,AI9/25*100&gt;=40,2,AI9/25*100&gt;=35,1.6,TRUE, 0)</f>
        <v>3.6</v>
      </c>
      <c r="AK9" s="7" t="str" cm="1">
        <f t="array" ref="AK9">_xlfn.IFS(AJ9=4,"A+",AJ9=3.6,"A",AJ9=3.2,"B+",AJ9=2.8,"B",AJ9=2.4,"C+",AJ9=2,"C",AJ9=1.6,"D",TRUE,"NG")</f>
        <v>A</v>
      </c>
      <c r="AL9" s="7">
        <f t="shared" si="3"/>
        <v>2.4</v>
      </c>
      <c r="AM9" s="7" t="str" cm="1">
        <f t="array" ref="AM9">_xlfn.IFS(AND(AL9&lt;=4,AL9&gt;3.6),"A+",AND(AL9&lt;=3.6,AL9&gt;3.2),"A",AND(AL9&lt;=3.2,AL9&gt;2.8),"B+",AND(AL9&lt;=2.8,AL9&gt;2.4),"B",AND(AL9&lt;=2.4,AL9&gt;2),"C+",AND(AL9&lt;=2,AL9&gt;1.6),"C",AL9=1.6,"D",TRUE,"NG")</f>
        <v>C+</v>
      </c>
      <c r="AN9" s="7">
        <v>44</v>
      </c>
      <c r="AO9" s="7" cm="1">
        <f t="array" ref="AO9">_xlfn.IFS(AN9/75*100&gt;=90,4,AN9/75*100&gt;=80,3.6,AN9/75*100&gt;=70,3.2,AN9/75*100&gt;=60,2.8,AN9/75*100&gt;=50,2.4,AN9/75*100&gt;=40,2,AN9/75*100&gt;=35,1.6,TRUE, 0)</f>
        <v>2.4</v>
      </c>
      <c r="AP9" s="7" t="str" cm="1">
        <f t="array" ref="AP9">_xlfn.IFS(AO9=4,"A+",AO9=3.6,"A",AO9=3.2,"B+",AO9=2.8,"B",AO9=2.4,"C+",AO9=2,"C",AO9=1.6,"D",TRUE,"NG")</f>
        <v>C+</v>
      </c>
      <c r="AQ9" s="7" cm="1">
        <f t="array" ref="AQ9">_xlfn.IFS(AN9&gt;=70,25,AN9&gt;=60,24,AN9&gt;=50,23,AN9&gt;=40,22,AN9&gt;=30,21,TRUE,20)</f>
        <v>22</v>
      </c>
      <c r="AR9" s="7" cm="1">
        <f t="array" ref="AR9">_xlfn.IFS(AQ9/25*100&gt;=90,4,AQ9/25*100&gt;=80,3.6,AQ9/25*100&gt;=70,3.2,AQ9/25*100&gt;=60,2.8,AQ9/25*100&gt;=50,2.4,AQ9/25*100&gt;=40,2,AQ9/25*100&gt;=35,1.6,TRUE, 0)</f>
        <v>3.6</v>
      </c>
      <c r="AS9" s="7" t="str" cm="1">
        <f t="array" ref="AS9">_xlfn.IFS(AR9=4,"A+",AR9=3.6,"A",AR9=3.2,"B+",AR9=2.8,"B",AR9=2.4,"C+",AR9=2,"C",AR9=1.6,"D",TRUE,"NG")</f>
        <v>A</v>
      </c>
      <c r="AT9" s="7">
        <f t="shared" si="4"/>
        <v>2.7</v>
      </c>
      <c r="AU9" s="7" t="str" cm="1">
        <f t="array" ref="AU9">_xlfn.IFS(AND(AT9&lt;=4,AT9&gt;3.6),"A+",AND(AT9&lt;=3.6,AT9&gt;3.2),"A",AND(AT9&lt;=3.2,AT9&gt;2.8),"B+",AND(AT9&lt;=2.8,AT9&gt;2.4),"B",AND(AT9&lt;=2.4,AT9&gt;2),"C+",AND(AT9&lt;=2,AT9&gt;1.6),"C",AT9=1.6,"D",TRUE,"NG")</f>
        <v>B</v>
      </c>
      <c r="AV9" s="7">
        <v>45</v>
      </c>
      <c r="AW9" s="7" cm="1">
        <f t="array" ref="AW9">IF(E9="BS",(_xlfn.IFS(AV9/75*100&gt;=90,4,AV9/75*100&gt;=80,3.6,AV9/75*100&gt;=70,3.2,AV9/75*100&gt;=60,2.8,AV9/75*100&gt;=50,2.4,AV9/75*100&gt;=40,2,AV9/75*100&gt;=35,1.6,TRUE, 0)),(_xlfn.IFS(AV9/50*100&gt;=90,4,AV9/50*100&gt;=80,3.6,AV9/50*100&gt;=70,3.2,AV9/50*100&gt;=60,2.8,AV9/50*100&gt;=50,2.4,AV9/50*100&gt;=40,2,AV9/50*100&gt;=35,1.6,TRUE, 0)))</f>
        <v>2.8</v>
      </c>
      <c r="AX9" s="7" t="str" cm="1">
        <f t="array" ref="AX9">_xlfn.IFS(AW9="-","-",AW9=4,"A+",AW9=3.6,"A",AW9=3.2,"B+",AW9=2.8,"B",AW9=2.4,"C+",AW9=2,"C",AW9=1.6,"D",TRUE,"NG")</f>
        <v>B</v>
      </c>
      <c r="AY9" s="7" cm="1">
        <f t="array" ref="AY9">IF(E9="BS",(_xlfn.IFS(AV9&gt;=70,25,AV9&gt;=60,24,AV9&gt;=50,23,AV9&gt;=40,22,AV9&gt;=30,21,TRUE,20)),(_xlfn.IFS(AV9&gt;=45,48,AV9&gt;=40,46,AV9&gt;=35,44,AV9&gt;=30,40,AV9&gt;=25,38,TRUE,20)))</f>
        <v>22</v>
      </c>
      <c r="AZ9" s="7" cm="1">
        <f t="array" ref="AZ9">IF(E9="BS",(_xlfn.IFS(AY9/25*100&gt;=90,4,AY9/25*100&gt;=80,3.6,AY9/25*100&gt;=70,3.2,AY9/25*100&gt;=60,2.8,AY9/25*100&gt;=50,2.4,AY9/25*100&gt;=40,2,AY9/25*100&gt;=35,1.6,TRUE, 0)),(_xlfn.IFS(AY9/50*100&gt;=90,4,AY9/50*100&gt;=80,3.6,AY9/50*100&gt;=70,3.2,AY9/50*100&gt;=60,2.8,AY9/50*100&gt;=50,2.4,AY9/50*100&gt;=40,2,AY9/50*100&gt;=35,1.6,TRUE, 0)))</f>
        <v>3.6</v>
      </c>
      <c r="BA9" s="7" t="str" cm="1">
        <f t="array" ref="BA9">_xlfn.IFS(AZ9="-","-",AZ9=4,"A+",AZ9=3.6,"A",AZ9=3.2,"B+",AZ9=2.8,"B",AZ9=2.4,"C+",AZ9=2,"C",AZ9=1.6,"D",TRUE,"NG")</f>
        <v>A</v>
      </c>
      <c r="BB9" s="7">
        <f>IF(E9="BS",(AW9*3.75+AZ9*1.25)/5,(AW9*2.5+AZ9*2.5)/5)</f>
        <v>3</v>
      </c>
      <c r="BC9" s="7" t="str" cm="1">
        <f t="array" ref="BC9">_xlfn.IFS(BB9="-","-",AND(BB9&lt;=4,BB9&gt;3.6),"A+",AND(BB9&lt;=3.6,BB9&gt;3.2),"A",AND(BB9&lt;=3.2,BB9&gt;2.8),"B+",AND(BB9&lt;=2.8,BB9&gt;2.4),"B",AND(BB9&lt;=2.4,BB9&gt;2),"C+",AND(BB9&lt;=2,BB9&gt;1.6),"C",BB9=1.6,"D",TRUE,"NG")</f>
        <v>B+</v>
      </c>
      <c r="BD9" s="12">
        <f>IF(E9="BS",(((I9*3+L9*1)+(Q9*2.25+T9*0.75)+(Y9*3.75+AB9*1.25)+(AG9*3.75+AJ9*1.25)+(AO9*3.75+AR9*1.25)+(AW9*3.75+AZ9*1.25))/(4+3+5*4)),(((I9*3+L9*1)+(Q9*2.25+T9*0.75)+(Y9*3.75+AB9*1.25)+(AG9*3.75+AJ9*1.25)+(AO9*3.75+AR9*1.25)+(AW9*2.5+AZ9*2.5))/(4+3+5*4)))</f>
        <v>2.5666666666666664</v>
      </c>
    </row>
    <row r="10" spans="1:56" x14ac:dyDescent="0.3">
      <c r="A10" s="2">
        <v>9</v>
      </c>
      <c r="B10" s="16">
        <v>793270280046</v>
      </c>
      <c r="C10" s="17">
        <v>12706897</v>
      </c>
      <c r="D10" s="3" t="s">
        <v>272</v>
      </c>
      <c r="E10" s="7" t="s">
        <v>56</v>
      </c>
      <c r="F10" s="20" t="s">
        <v>345</v>
      </c>
      <c r="G10" s="3" t="s">
        <v>310</v>
      </c>
      <c r="H10" s="7">
        <v>40</v>
      </c>
      <c r="I10" s="7" cm="1">
        <f t="array" ref="I10">_xlfn.IFS(H10/75*100&gt;=90,4,H10/75*100&gt;=80,3.6,H10/75*100&gt;=70,3.2,H10/75*100&gt;=60,2.8,H10/75*100&gt;=50,2.4,H10/75*100&gt;=40,2,H10/75*100&gt;=35,1.6,TRUE, 0)</f>
        <v>2.4</v>
      </c>
      <c r="J10" s="7" t="str" cm="1">
        <f t="array" ref="J10">_xlfn.IFS(I10=4,"A+",I10=3.6,"A",I10=3.2,"B+",I10=2.8,"B",I10=2.4,"C+",I10=2,"C",I10=1.6,"D",TRUE,"NG")</f>
        <v>C+</v>
      </c>
      <c r="K10" s="7" cm="1">
        <f t="array" ref="K10">_xlfn.IFS(H10&gt;=70,25,H10&gt;=60,24,H10&gt;=50,23,H10&gt;=40,22,H10&gt;=30,21,TRUE,20)</f>
        <v>22</v>
      </c>
      <c r="L10" s="7" cm="1">
        <f t="array" ref="L10">_xlfn.IFS(K10/25*100&gt;=90,4,K10/25*100&gt;=80,3.6,K10/25*100&gt;=70,3.2,K10/25*100&gt;=60,2.8,K10/25*100&gt;=50,2.4,K10/25*100&gt;=40,2,K10/25*100&gt;=35,1.6,TRUE, 0)</f>
        <v>3.6</v>
      </c>
      <c r="M10" s="7" t="str" cm="1">
        <f t="array" ref="M10">_xlfn.IFS(L10=4,"A+",L10=3.6,"A",L10=3.2,"B+",L10=2.8,"B",L10=2.4,"C+",L10=2,"C",L10=1.6,"D",TRUE,"NG")</f>
        <v>A</v>
      </c>
      <c r="N10" s="7">
        <f t="shared" si="0"/>
        <v>2.6999999999999997</v>
      </c>
      <c r="O10" s="7" t="str" cm="1">
        <f t="array" ref="O10">_xlfn.IFS(AND(N10&lt;=4,N10&gt;3.6),"A+",AND(N10&lt;=3.6,N10&gt;3.2),"A",AND(N10&lt;=3.2,N10&gt;2.8),"B+",AND(N10&lt;=2.8,N10&gt;2.4),"B",AND(N10&lt;=2.4,N10&gt;2),"C+",AND(N10&lt;=2,N10&gt;1.6),"C",N10=1.6,"D",TRUE,"NG")</f>
        <v>B</v>
      </c>
      <c r="P10" s="7">
        <v>38</v>
      </c>
      <c r="Q10" s="7" cm="1">
        <f t="array" ref="Q10">_xlfn.IFS(P10/75*100&gt;=90,4,P10/75*100&gt;=80,3.6,P10/75*100&gt;=70,3.2,P10/75*100&gt;=60,2.8,P10/75*100&gt;=50,2.4,P10/75*100&gt;=40,2,P10/75*100&gt;=35,1.6,TRUE, 0)</f>
        <v>2.4</v>
      </c>
      <c r="R10" s="7" t="str" cm="1">
        <f t="array" ref="R10">_xlfn.IFS(Q10=4,"A+",Q10=3.6,"A",Q10=3.2,"B+",Q10=2.8,"B",Q10=2.4,"C+",Q10=2,"C",Q10=1.6,"D",TRUE,"NG")</f>
        <v>C+</v>
      </c>
      <c r="S10" s="7" cm="1">
        <f t="array" ref="S10">_xlfn.IFS(P10&gt;=70,25,P10&gt;=60,24,P10&gt;=50,23,P10&gt;=40,22,P10&gt;=30,21,TRUE,20)</f>
        <v>21</v>
      </c>
      <c r="T10" s="7" cm="1">
        <f t="array" ref="T10">_xlfn.IFS(S10/25*100&gt;=90,4,S10/25*100&gt;=80,3.6,S10/25*100&gt;=70,3.2,S10/25*100&gt;=60,2.8,S10/25*100&gt;=50,2.4,S10/25*100&gt;=40,2,S10/25*100&gt;=35,1.6,TRUE, 0)</f>
        <v>3.6</v>
      </c>
      <c r="U10" s="7" t="str" cm="1">
        <f t="array" ref="U10">_xlfn.IFS(T10=4,"A+",T10=3.6,"A",T10=3.2,"B+",T10=2.8,"B",T10=2.4,"C+",T10=2,"C",T10=1.6,"D",TRUE,"NG")</f>
        <v>A</v>
      </c>
      <c r="V10" s="7">
        <f t="shared" si="1"/>
        <v>2.6999999999999997</v>
      </c>
      <c r="W10" s="7" t="str" cm="1">
        <f t="array" ref="W10">_xlfn.IFS(AND(V10&lt;=4,V10&gt;3.6),"A+",AND(V10&lt;=3.6,V10&gt;3.2),"A",AND(V10&lt;=3.2,V10&gt;2.8),"B+",AND(V10&lt;=2.8,V10&gt;2.4),"B",AND(V10&lt;=2.4,V10&gt;2),"C+",AND(V10&lt;=2,V10&gt;1.6),"C",V10=1.6,"D",TRUE,"NG")</f>
        <v>B</v>
      </c>
      <c r="X10" s="7">
        <v>31</v>
      </c>
      <c r="Y10" s="7" cm="1">
        <f t="array" ref="Y10">_xlfn.IFS(X10/75*100&gt;=90,4,X10/75*100&gt;=80,3.6,X10/75*100&gt;=70,3.2,X10/75*100&gt;=60,2.8,X10/75*100&gt;=50,2.4,X10/75*100&gt;=40,2,X10/75*100&gt;=35,1.6,TRUE, 0)</f>
        <v>2</v>
      </c>
      <c r="Z10" s="7" t="str" cm="1">
        <f t="array" ref="Z10">_xlfn.IFS(Y10=4,"A+",Y10=3.6,"A",Y10=3.2,"B+",Y10=2.8,"B",Y10=2.4,"C+",Y10=2,"C",Y10=1.6,"D",TRUE,"NG")</f>
        <v>C</v>
      </c>
      <c r="AA10" s="7" cm="1">
        <f t="array" ref="AA10">_xlfn.IFS(X10&gt;=70,25,X10&gt;=60,24,X10&gt;=50,23,X10&gt;=40,22,X10&gt;=30,21,TRUE,20)</f>
        <v>21</v>
      </c>
      <c r="AB10" s="7" cm="1">
        <f t="array" ref="AB10">_xlfn.IFS(AA10/25*100&gt;=90,4,AA10/25*100&gt;=80,3.6,AA10/25*100&gt;=70,3.2,AA10/25*100&gt;=60,2.8,AA10/25*100&gt;=50,2.4,AA10/25*100&gt;=40,2,AA10/25*100&gt;=35,1.6,TRUE, 0)</f>
        <v>3.6</v>
      </c>
      <c r="AC10" s="7" t="str" cm="1">
        <f t="array" ref="AC10">_xlfn.IFS(AB10=4,"A+",AB10=3.6,"A",AB10=3.2,"B+",AB10=2.8,"B",AB10=2.4,"C+",AB10=2,"C",AB10=1.6,"D",TRUE,"NG")</f>
        <v>A</v>
      </c>
      <c r="AD10" s="7">
        <f t="shared" si="2"/>
        <v>2.4</v>
      </c>
      <c r="AE10" s="7" t="str" cm="1">
        <f t="array" ref="AE10">_xlfn.IFS(AND(AD10&lt;=4,AD10&gt;3.6),"A+",AND(AD10&lt;=3.6,AD10&gt;3.2),"A",AND(AD10&lt;=3.2,AD10&gt;2.8),"B+",AND(AD10&lt;=2.8,AD10&gt;2.4),"B",AND(AD10&lt;=2.4,AD10&gt;2),"C+",AND(AD10&lt;=2,AD10&gt;1.6),"C",AD10=1.6,"D",TRUE,"NG")</f>
        <v>C+</v>
      </c>
      <c r="AF10" s="7">
        <v>35</v>
      </c>
      <c r="AG10" s="7" cm="1">
        <f t="array" ref="AG10">_xlfn.IFS(AF10/75*100&gt;=90,4,AF10/75*100&gt;=80,3.6,AF10/75*100&gt;=70,3.2,AF10/75*100&gt;=60,2.8,AF10/75*100&gt;=50,2.4,AF10/75*100&gt;=40,2,AF10/75*100&gt;=35,1.6,TRUE, 0)</f>
        <v>2</v>
      </c>
      <c r="AH10" s="7" t="str" cm="1">
        <f t="array" ref="AH10">_xlfn.IFS(AG10=4,"A+",AG10=3.6,"A",AG10=3.2,"B+",AG10=2.8,"B",AG10=2.4,"C+",AG10=2,"C",AG10=1.6,"D",TRUE,"NG")</f>
        <v>C</v>
      </c>
      <c r="AI10" s="7" cm="1">
        <f t="array" ref="AI10">_xlfn.IFS(AF10&gt;=70,25,AF10&gt;=60,24,AF10&gt;=50,23,AF10&gt;=40,22,AF10&gt;=30,21,TRUE,20)</f>
        <v>21</v>
      </c>
      <c r="AJ10" s="7" cm="1">
        <f t="array" ref="AJ10">_xlfn.IFS(AI10/25*100&gt;=90,4,AI10/25*100&gt;=80,3.6,AI10/25*100&gt;=70,3.2,AI10/25*100&gt;=60,2.8,AI10/25*100&gt;=50,2.4,AI10/25*100&gt;=40,2,AI10/25*100&gt;=35,1.6,TRUE, 0)</f>
        <v>3.6</v>
      </c>
      <c r="AK10" s="7" t="str" cm="1">
        <f t="array" ref="AK10">_xlfn.IFS(AJ10=4,"A+",AJ10=3.6,"A",AJ10=3.2,"B+",AJ10=2.8,"B",AJ10=2.4,"C+",AJ10=2,"C",AJ10=1.6,"D",TRUE,"NG")</f>
        <v>A</v>
      </c>
      <c r="AL10" s="7">
        <f t="shared" si="3"/>
        <v>2.4</v>
      </c>
      <c r="AM10" s="7" t="str" cm="1">
        <f t="array" ref="AM10">_xlfn.IFS(AND(AL10&lt;=4,AL10&gt;3.6),"A+",AND(AL10&lt;=3.6,AL10&gt;3.2),"A",AND(AL10&lt;=3.2,AL10&gt;2.8),"B+",AND(AL10&lt;=2.8,AL10&gt;2.4),"B",AND(AL10&lt;=2.4,AL10&gt;2),"C+",AND(AL10&lt;=2,AL10&gt;1.6),"C",AL10=1.6,"D",TRUE,"NG")</f>
        <v>C+</v>
      </c>
      <c r="AN10" s="7">
        <v>30</v>
      </c>
      <c r="AO10" s="7" cm="1">
        <f t="array" ref="AO10">_xlfn.IFS(AN10/75*100&gt;=90,4,AN10/75*100&gt;=80,3.6,AN10/75*100&gt;=70,3.2,AN10/75*100&gt;=60,2.8,AN10/75*100&gt;=50,2.4,AN10/75*100&gt;=40,2,AN10/75*100&gt;=35,1.6,TRUE, 0)</f>
        <v>2</v>
      </c>
      <c r="AP10" s="7" t="str" cm="1">
        <f t="array" ref="AP10">_xlfn.IFS(AO10=4,"A+",AO10=3.6,"A",AO10=3.2,"B+",AO10=2.8,"B",AO10=2.4,"C+",AO10=2,"C",AO10=1.6,"D",TRUE,"NG")</f>
        <v>C</v>
      </c>
      <c r="AQ10" s="7" cm="1">
        <f t="array" ref="AQ10">_xlfn.IFS(AN10&gt;=70,25,AN10&gt;=60,24,AN10&gt;=50,23,AN10&gt;=40,22,AN10&gt;=30,21,TRUE,20)</f>
        <v>21</v>
      </c>
      <c r="AR10" s="7" cm="1">
        <f t="array" ref="AR10">_xlfn.IFS(AQ10/25*100&gt;=90,4,AQ10/25*100&gt;=80,3.6,AQ10/25*100&gt;=70,3.2,AQ10/25*100&gt;=60,2.8,AQ10/25*100&gt;=50,2.4,AQ10/25*100&gt;=40,2,AQ10/25*100&gt;=35,1.6,TRUE, 0)</f>
        <v>3.6</v>
      </c>
      <c r="AS10" s="7" t="str" cm="1">
        <f t="array" ref="AS10">_xlfn.IFS(AR10=4,"A+",AR10=3.6,"A",AR10=3.2,"B+",AR10=2.8,"B",AR10=2.4,"C+",AR10=2,"C",AR10=1.6,"D",TRUE,"NG")</f>
        <v>A</v>
      </c>
      <c r="AT10" s="7">
        <f t="shared" si="4"/>
        <v>2.4</v>
      </c>
      <c r="AU10" s="7" t="str" cm="1">
        <f t="array" ref="AU10">_xlfn.IFS(AND(AT10&lt;=4,AT10&gt;3.6),"A+",AND(AT10&lt;=3.6,AT10&gt;3.2),"A",AND(AT10&lt;=3.2,AT10&gt;2.8),"B+",AND(AT10&lt;=2.8,AT10&gt;2.4),"B",AND(AT10&lt;=2.4,AT10&gt;2),"C+",AND(AT10&lt;=2,AT10&gt;1.6),"C",AT10=1.6,"D",TRUE,"NG")</f>
        <v>C+</v>
      </c>
      <c r="AV10" s="7">
        <v>36</v>
      </c>
      <c r="AW10" s="7" cm="1">
        <f t="array" ref="AW10">IF(E10="BS",(_xlfn.IFS(AV10/75*100&gt;=90,4,AV10/75*100&gt;=80,3.6,AV10/75*100&gt;=70,3.2,AV10/75*100&gt;=60,2.8,AV10/75*100&gt;=50,2.4,AV10/75*100&gt;=40,2,AV10/75*100&gt;=35,1.6,TRUE, 0)),(_xlfn.IFS(AV10/50*100&gt;=90,4,AV10/50*100&gt;=80,3.6,AV10/50*100&gt;=70,3.2,AV10/50*100&gt;=60,2.8,AV10/50*100&gt;=50,2.4,AV10/50*100&gt;=40,2,AV10/50*100&gt;=35,1.6,TRUE, 0)))</f>
        <v>2</v>
      </c>
      <c r="AX10" s="7" t="str" cm="1">
        <f t="array" ref="AX10">_xlfn.IFS(AW10="-","-",AW10=4,"A+",AW10=3.6,"A",AW10=3.2,"B+",AW10=2.8,"B",AW10=2.4,"C+",AW10=2,"C",AW10=1.6,"D",TRUE,"NG")</f>
        <v>C</v>
      </c>
      <c r="AY10" s="7" cm="1">
        <f t="array" ref="AY10">IF(E10="BS",(_xlfn.IFS(AV10&gt;=70,25,AV10&gt;=60,24,AV10&gt;=50,23,AV10&gt;=40,22,AV10&gt;=30,21,TRUE,20)),(_xlfn.IFS(AV10&gt;=45,48,AV10&gt;=40,46,AV10&gt;=35,44,AV10&gt;=30,40,AV10&gt;=25,38,TRUE,20)))</f>
        <v>21</v>
      </c>
      <c r="AZ10" s="7" cm="1">
        <f t="array" ref="AZ10">IF(E10="BS",(_xlfn.IFS(AY10/25*100&gt;=90,4,AY10/25*100&gt;=80,3.6,AY10/25*100&gt;=70,3.2,AY10/25*100&gt;=60,2.8,AY10/25*100&gt;=50,2.4,AY10/25*100&gt;=40,2,AY10/25*100&gt;=35,1.6,TRUE, 0)),(_xlfn.IFS(AY10/50*100&gt;=90,4,AY10/50*100&gt;=80,3.6,AY10/50*100&gt;=70,3.2,AY10/50*100&gt;=60,2.8,AY10/50*100&gt;=50,2.4,AY10/50*100&gt;=40,2,AY10/50*100&gt;=35,1.6,TRUE, 0)))</f>
        <v>3.6</v>
      </c>
      <c r="BA10" s="7" t="str" cm="1">
        <f t="array" ref="BA10">_xlfn.IFS(AZ10="-","-",AZ10=4,"A+",AZ10=3.6,"A",AZ10=3.2,"B+",AZ10=2.8,"B",AZ10=2.4,"C+",AZ10=2,"C",AZ10=1.6,"D",TRUE,"NG")</f>
        <v>A</v>
      </c>
      <c r="BB10" s="7">
        <f>IF(E10="BS",(AW10*3.75+AZ10*1.25)/5,(AW10*2.5+AZ10*2.5)/5)</f>
        <v>2.4</v>
      </c>
      <c r="BC10" s="7" t="str" cm="1">
        <f t="array" ref="BC10">_xlfn.IFS(BB10="-","-",AND(BB10&lt;=4,BB10&gt;3.6),"A+",AND(BB10&lt;=3.6,BB10&gt;3.2),"A",AND(BB10&lt;=3.2,BB10&gt;2.8),"B+",AND(BB10&lt;=2.8,BB10&gt;2.4),"B",AND(BB10&lt;=2.4,BB10&gt;2),"C+",AND(BB10&lt;=2,BB10&gt;1.6),"C",BB10=1.6,"D",TRUE,"NG")</f>
        <v>C+</v>
      </c>
      <c r="BD10" s="12">
        <f>IF(E10="BS",(((I10*3+L10*1)+(Q10*2.25+T10*0.75)+(Y10*3.75+AB10*1.25)+(AG10*3.75+AJ10*1.25)+(AO10*3.75+AR10*1.25)+(AW10*3.75+AZ10*1.25))/(4+3+5*4)),(((I10*3+L10*1)+(Q10*2.25+T10*0.75)+(Y10*3.75+AB10*1.25)+(AG10*3.75+AJ10*1.25)+(AO10*3.75+AR10*1.25)+(AW10*2.5+AZ10*2.5))/(4+3+5*4)))</f>
        <v>2.4777777777777779</v>
      </c>
    </row>
    <row r="11" spans="1:56" x14ac:dyDescent="0.3">
      <c r="A11" s="2">
        <v>10</v>
      </c>
      <c r="B11" s="16">
        <v>793270280051</v>
      </c>
      <c r="C11" s="17">
        <v>12706902</v>
      </c>
      <c r="D11" s="3" t="s">
        <v>273</v>
      </c>
      <c r="E11" s="7" t="s">
        <v>56</v>
      </c>
      <c r="F11" s="20" t="s">
        <v>346</v>
      </c>
      <c r="G11" s="3" t="s">
        <v>311</v>
      </c>
      <c r="H11" s="7">
        <v>31</v>
      </c>
      <c r="I11" s="7" cm="1">
        <f t="array" ref="I11">_xlfn.IFS(H11/75*100&gt;=90,4,H11/75*100&gt;=80,3.6,H11/75*100&gt;=70,3.2,H11/75*100&gt;=60,2.8,H11/75*100&gt;=50,2.4,H11/75*100&gt;=40,2,H11/75*100&gt;=35,1.6,TRUE, 0)</f>
        <v>2</v>
      </c>
      <c r="J11" s="7" t="str" cm="1">
        <f t="array" ref="J11">_xlfn.IFS(I11=4,"A+",I11=3.6,"A",I11=3.2,"B+",I11=2.8,"B",I11=2.4,"C+",I11=2,"C",I11=1.6,"D",TRUE,"NG")</f>
        <v>C</v>
      </c>
      <c r="K11" s="7" cm="1">
        <f t="array" ref="K11">_xlfn.IFS(H11&gt;=70,25,H11&gt;=60,24,H11&gt;=50,23,H11&gt;=40,22,H11&gt;=30,21,TRUE,20)</f>
        <v>21</v>
      </c>
      <c r="L11" s="7" cm="1">
        <f t="array" ref="L11">_xlfn.IFS(K11/25*100&gt;=90,4,K11/25*100&gt;=80,3.6,K11/25*100&gt;=70,3.2,K11/25*100&gt;=60,2.8,K11/25*100&gt;=50,2.4,K11/25*100&gt;=40,2,K11/25*100&gt;=35,1.6,TRUE, 0)</f>
        <v>3.6</v>
      </c>
      <c r="M11" s="7" t="str" cm="1">
        <f t="array" ref="M11">_xlfn.IFS(L11=4,"A+",L11=3.6,"A",L11=3.2,"B+",L11=2.8,"B",L11=2.4,"C+",L11=2,"C",L11=1.6,"D",TRUE,"NG")</f>
        <v>A</v>
      </c>
      <c r="N11" s="7">
        <f t="shared" si="0"/>
        <v>2.4</v>
      </c>
      <c r="O11" s="7" t="str" cm="1">
        <f t="array" ref="O11">_xlfn.IFS(AND(N11&lt;=4,N11&gt;3.6),"A+",AND(N11&lt;=3.6,N11&gt;3.2),"A",AND(N11&lt;=3.2,N11&gt;2.8),"B+",AND(N11&lt;=2.8,N11&gt;2.4),"B",AND(N11&lt;=2.4,N11&gt;2),"C+",AND(N11&lt;=2,N11&gt;1.6),"C",N11=1.6,"D",TRUE,"NG")</f>
        <v>C+</v>
      </c>
      <c r="P11" s="7">
        <v>33</v>
      </c>
      <c r="Q11" s="7" cm="1">
        <f t="array" ref="Q11">_xlfn.IFS(P11/75*100&gt;=90,4,P11/75*100&gt;=80,3.6,P11/75*100&gt;=70,3.2,P11/75*100&gt;=60,2.8,P11/75*100&gt;=50,2.4,P11/75*100&gt;=40,2,P11/75*100&gt;=35,1.6,TRUE, 0)</f>
        <v>2</v>
      </c>
      <c r="R11" s="7" t="str" cm="1">
        <f t="array" ref="R11">_xlfn.IFS(Q11=4,"A+",Q11=3.6,"A",Q11=3.2,"B+",Q11=2.8,"B",Q11=2.4,"C+",Q11=2,"C",Q11=1.6,"D",TRUE,"NG")</f>
        <v>C</v>
      </c>
      <c r="S11" s="7" cm="1">
        <f t="array" ref="S11">_xlfn.IFS(P11&gt;=70,25,P11&gt;=60,24,P11&gt;=50,23,P11&gt;=40,22,P11&gt;=30,21,TRUE,20)</f>
        <v>21</v>
      </c>
      <c r="T11" s="7" cm="1">
        <f t="array" ref="T11">_xlfn.IFS(S11/25*100&gt;=90,4,S11/25*100&gt;=80,3.6,S11/25*100&gt;=70,3.2,S11/25*100&gt;=60,2.8,S11/25*100&gt;=50,2.4,S11/25*100&gt;=40,2,S11/25*100&gt;=35,1.6,TRUE, 0)</f>
        <v>3.6</v>
      </c>
      <c r="U11" s="7" t="str" cm="1">
        <f t="array" ref="U11">_xlfn.IFS(T11=4,"A+",T11=3.6,"A",T11=3.2,"B+",T11=2.8,"B",T11=2.4,"C+",T11=2,"C",T11=1.6,"D",TRUE,"NG")</f>
        <v>A</v>
      </c>
      <c r="V11" s="7">
        <f t="shared" si="1"/>
        <v>2.4</v>
      </c>
      <c r="W11" s="7" t="str" cm="1">
        <f t="array" ref="W11">_xlfn.IFS(AND(V11&lt;=4,V11&gt;3.6),"A+",AND(V11&lt;=3.6,V11&gt;3.2),"A",AND(V11&lt;=3.2,V11&gt;2.8),"B+",AND(V11&lt;=2.8,V11&gt;2.4),"B",AND(V11&lt;=2.4,V11&gt;2),"C+",AND(V11&lt;=2,V11&gt;1.6),"C",V11=1.6,"D",TRUE,"NG")</f>
        <v>C+</v>
      </c>
      <c r="X11" s="7">
        <v>32</v>
      </c>
      <c r="Y11" s="7" cm="1">
        <f t="array" ref="Y11">_xlfn.IFS(X11/75*100&gt;=90,4,X11/75*100&gt;=80,3.6,X11/75*100&gt;=70,3.2,X11/75*100&gt;=60,2.8,X11/75*100&gt;=50,2.4,X11/75*100&gt;=40,2,X11/75*100&gt;=35,1.6,TRUE, 0)</f>
        <v>2</v>
      </c>
      <c r="Z11" s="7" t="str" cm="1">
        <f t="array" ref="Z11">_xlfn.IFS(Y11=4,"A+",Y11=3.6,"A",Y11=3.2,"B+",Y11=2.8,"B",Y11=2.4,"C+",Y11=2,"C",Y11=1.6,"D",TRUE,"NG")</f>
        <v>C</v>
      </c>
      <c r="AA11" s="7" cm="1">
        <f t="array" ref="AA11">_xlfn.IFS(X11&gt;=70,25,X11&gt;=60,24,X11&gt;=50,23,X11&gt;=40,22,X11&gt;=30,21,TRUE,20)</f>
        <v>21</v>
      </c>
      <c r="AB11" s="7" cm="1">
        <f t="array" ref="AB11">_xlfn.IFS(AA11/25*100&gt;=90,4,AA11/25*100&gt;=80,3.6,AA11/25*100&gt;=70,3.2,AA11/25*100&gt;=60,2.8,AA11/25*100&gt;=50,2.4,AA11/25*100&gt;=40,2,AA11/25*100&gt;=35,1.6,TRUE, 0)</f>
        <v>3.6</v>
      </c>
      <c r="AC11" s="7" t="str" cm="1">
        <f t="array" ref="AC11">_xlfn.IFS(AB11=4,"A+",AB11=3.6,"A",AB11=3.2,"B+",AB11=2.8,"B",AB11=2.4,"C+",AB11=2,"C",AB11=1.6,"D",TRUE,"NG")</f>
        <v>A</v>
      </c>
      <c r="AD11" s="7">
        <f t="shared" si="2"/>
        <v>2.4</v>
      </c>
      <c r="AE11" s="7" t="str" cm="1">
        <f t="array" ref="AE11">_xlfn.IFS(AND(AD11&lt;=4,AD11&gt;3.6),"A+",AND(AD11&lt;=3.6,AD11&gt;3.2),"A",AND(AD11&lt;=3.2,AD11&gt;2.8),"B+",AND(AD11&lt;=2.8,AD11&gt;2.4),"B",AND(AD11&lt;=2.4,AD11&gt;2),"C+",AND(AD11&lt;=2,AD11&gt;1.6),"C",AD11=1.6,"D",TRUE,"NG")</f>
        <v>C+</v>
      </c>
      <c r="AF11" s="7">
        <v>35</v>
      </c>
      <c r="AG11" s="7" cm="1">
        <f t="array" ref="AG11">_xlfn.IFS(AF11/75*100&gt;=90,4,AF11/75*100&gt;=80,3.6,AF11/75*100&gt;=70,3.2,AF11/75*100&gt;=60,2.8,AF11/75*100&gt;=50,2.4,AF11/75*100&gt;=40,2,AF11/75*100&gt;=35,1.6,TRUE, 0)</f>
        <v>2</v>
      </c>
      <c r="AH11" s="7" t="str" cm="1">
        <f t="array" ref="AH11">_xlfn.IFS(AG11=4,"A+",AG11=3.6,"A",AG11=3.2,"B+",AG11=2.8,"B",AG11=2.4,"C+",AG11=2,"C",AG11=1.6,"D",TRUE,"NG")</f>
        <v>C</v>
      </c>
      <c r="AI11" s="7" cm="1">
        <f t="array" ref="AI11">_xlfn.IFS(AF11&gt;=70,25,AF11&gt;=60,24,AF11&gt;=50,23,AF11&gt;=40,22,AF11&gt;=30,21,TRUE,20)</f>
        <v>21</v>
      </c>
      <c r="AJ11" s="7" cm="1">
        <f t="array" ref="AJ11">_xlfn.IFS(AI11/25*100&gt;=90,4,AI11/25*100&gt;=80,3.6,AI11/25*100&gt;=70,3.2,AI11/25*100&gt;=60,2.8,AI11/25*100&gt;=50,2.4,AI11/25*100&gt;=40,2,AI11/25*100&gt;=35,1.6,TRUE, 0)</f>
        <v>3.6</v>
      </c>
      <c r="AK11" s="7" t="str" cm="1">
        <f t="array" ref="AK11">_xlfn.IFS(AJ11=4,"A+",AJ11=3.6,"A",AJ11=3.2,"B+",AJ11=2.8,"B",AJ11=2.4,"C+",AJ11=2,"C",AJ11=1.6,"D",TRUE,"NG")</f>
        <v>A</v>
      </c>
      <c r="AL11" s="7">
        <f t="shared" si="3"/>
        <v>2.4</v>
      </c>
      <c r="AM11" s="7" t="str" cm="1">
        <f t="array" ref="AM11">_xlfn.IFS(AND(AL11&lt;=4,AL11&gt;3.6),"A+",AND(AL11&lt;=3.6,AL11&gt;3.2),"A",AND(AL11&lt;=3.2,AL11&gt;2.8),"B+",AND(AL11&lt;=2.8,AL11&gt;2.4),"B",AND(AL11&lt;=2.4,AL11&gt;2),"C+",AND(AL11&lt;=2,AL11&gt;1.6),"C",AL11=1.6,"D",TRUE,"NG")</f>
        <v>C+</v>
      </c>
      <c r="AN11" s="7">
        <v>39</v>
      </c>
      <c r="AO11" s="7" cm="1">
        <f t="array" ref="AO11">_xlfn.IFS(AN11/75*100&gt;=90,4,AN11/75*100&gt;=80,3.6,AN11/75*100&gt;=70,3.2,AN11/75*100&gt;=60,2.8,AN11/75*100&gt;=50,2.4,AN11/75*100&gt;=40,2,AN11/75*100&gt;=35,1.6,TRUE, 0)</f>
        <v>2.4</v>
      </c>
      <c r="AP11" s="7" t="str" cm="1">
        <f t="array" ref="AP11">_xlfn.IFS(AO11=4,"A+",AO11=3.6,"A",AO11=3.2,"B+",AO11=2.8,"B",AO11=2.4,"C+",AO11=2,"C",AO11=1.6,"D",TRUE,"NG")</f>
        <v>C+</v>
      </c>
      <c r="AQ11" s="7" cm="1">
        <f t="array" ref="AQ11">_xlfn.IFS(AN11&gt;=70,25,AN11&gt;=60,24,AN11&gt;=50,23,AN11&gt;=40,22,AN11&gt;=30,21,TRUE,20)</f>
        <v>21</v>
      </c>
      <c r="AR11" s="7" cm="1">
        <f t="array" ref="AR11">_xlfn.IFS(AQ11/25*100&gt;=90,4,AQ11/25*100&gt;=80,3.6,AQ11/25*100&gt;=70,3.2,AQ11/25*100&gt;=60,2.8,AQ11/25*100&gt;=50,2.4,AQ11/25*100&gt;=40,2,AQ11/25*100&gt;=35,1.6,TRUE, 0)</f>
        <v>3.6</v>
      </c>
      <c r="AS11" s="7" t="str" cm="1">
        <f t="array" ref="AS11">_xlfn.IFS(AR11=4,"A+",AR11=3.6,"A",AR11=3.2,"B+",AR11=2.8,"B",AR11=2.4,"C+",AR11=2,"C",AR11=1.6,"D",TRUE,"NG")</f>
        <v>A</v>
      </c>
      <c r="AT11" s="7">
        <f t="shared" si="4"/>
        <v>2.7</v>
      </c>
      <c r="AU11" s="7" t="str" cm="1">
        <f t="array" ref="AU11">_xlfn.IFS(AND(AT11&lt;=4,AT11&gt;3.6),"A+",AND(AT11&lt;=3.6,AT11&gt;3.2),"A",AND(AT11&lt;=3.2,AT11&gt;2.8),"B+",AND(AT11&lt;=2.8,AT11&gt;2.4),"B",AND(AT11&lt;=2.4,AT11&gt;2),"C+",AND(AT11&lt;=2,AT11&gt;1.6),"C",AT11=1.6,"D",TRUE,"NG")</f>
        <v>B</v>
      </c>
      <c r="AV11" s="7">
        <v>34</v>
      </c>
      <c r="AW11" s="7" cm="1">
        <f t="array" ref="AW11">IF(E11="BS",(_xlfn.IFS(AV11/75*100&gt;=90,4,AV11/75*100&gt;=80,3.6,AV11/75*100&gt;=70,3.2,AV11/75*100&gt;=60,2.8,AV11/75*100&gt;=50,2.4,AV11/75*100&gt;=40,2,AV11/75*100&gt;=35,1.6,TRUE, 0)),(_xlfn.IFS(AV11/50*100&gt;=90,4,AV11/50*100&gt;=80,3.6,AV11/50*100&gt;=70,3.2,AV11/50*100&gt;=60,2.8,AV11/50*100&gt;=50,2.4,AV11/50*100&gt;=40,2,AV11/50*100&gt;=35,1.6,TRUE, 0)))</f>
        <v>2</v>
      </c>
      <c r="AX11" s="7" t="str" cm="1">
        <f t="array" ref="AX11">_xlfn.IFS(AW11="-","-",AW11=4,"A+",AW11=3.6,"A",AW11=3.2,"B+",AW11=2.8,"B",AW11=2.4,"C+",AW11=2,"C",AW11=1.6,"D",TRUE,"NG")</f>
        <v>C</v>
      </c>
      <c r="AY11" s="7" cm="1">
        <f t="array" ref="AY11">IF(E11="BS",(_xlfn.IFS(AV11&gt;=70,25,AV11&gt;=60,24,AV11&gt;=50,23,AV11&gt;=40,22,AV11&gt;=30,21,TRUE,20)),(_xlfn.IFS(AV11&gt;=45,48,AV11&gt;=40,46,AV11&gt;=35,44,AV11&gt;=30,40,AV11&gt;=25,38,TRUE,20)))</f>
        <v>21</v>
      </c>
      <c r="AZ11" s="7" cm="1">
        <f t="array" ref="AZ11">IF(E11="BS",(_xlfn.IFS(AY11/25*100&gt;=90,4,AY11/25*100&gt;=80,3.6,AY11/25*100&gt;=70,3.2,AY11/25*100&gt;=60,2.8,AY11/25*100&gt;=50,2.4,AY11/25*100&gt;=40,2,AY11/25*100&gt;=35,1.6,TRUE, 0)),(_xlfn.IFS(AY11/50*100&gt;=90,4,AY11/50*100&gt;=80,3.6,AY11/50*100&gt;=70,3.2,AY11/50*100&gt;=60,2.8,AY11/50*100&gt;=50,2.4,AY11/50*100&gt;=40,2,AY11/50*100&gt;=35,1.6,TRUE, 0)))</f>
        <v>3.6</v>
      </c>
      <c r="BA11" s="7" t="str" cm="1">
        <f t="array" ref="BA11">_xlfn.IFS(AZ11="-","-",AZ11=4,"A+",AZ11=3.6,"A",AZ11=3.2,"B+",AZ11=2.8,"B",AZ11=2.4,"C+",AZ11=2,"C",AZ11=1.6,"D",TRUE,"NG")</f>
        <v>A</v>
      </c>
      <c r="BB11" s="7">
        <f>IF(E11="BS",(AW11*3.75+AZ11*1.25)/5,(AW11*2.5+AZ11*2.5)/5)</f>
        <v>2.4</v>
      </c>
      <c r="BC11" s="7" t="str" cm="1">
        <f t="array" ref="BC11">_xlfn.IFS(BB11="-","-",AND(BB11&lt;=4,BB11&gt;3.6),"A+",AND(BB11&lt;=3.6,BB11&gt;3.2),"A",AND(BB11&lt;=3.2,BB11&gt;2.8),"B+",AND(BB11&lt;=2.8,BB11&gt;2.4),"B",AND(BB11&lt;=2.4,BB11&gt;2),"C+",AND(BB11&lt;=2,BB11&gt;1.6),"C",BB11=1.6,"D",TRUE,"NG")</f>
        <v>C+</v>
      </c>
      <c r="BD11" s="12">
        <f>IF(E11="BS",(((I11*3+L11*1)+(Q11*2.25+T11*0.75)+(Y11*3.75+AB11*1.25)+(AG11*3.75+AJ11*1.25)+(AO11*3.75+AR11*1.25)+(AW11*3.75+AZ11*1.25))/(4+3+5*4)),(((I11*3+L11*1)+(Q11*2.25+T11*0.75)+(Y11*3.75+AB11*1.25)+(AG11*3.75+AJ11*1.25)+(AO11*3.75+AR11*1.25)+(AW11*2.5+AZ11*2.5))/(4+3+5*4)))</f>
        <v>2.4555555555555553</v>
      </c>
    </row>
    <row r="12" spans="1:56" x14ac:dyDescent="0.3">
      <c r="A12" s="2">
        <v>11</v>
      </c>
      <c r="B12" s="16">
        <v>793270280053</v>
      </c>
      <c r="C12" s="17">
        <v>12706904</v>
      </c>
      <c r="D12" s="3" t="s">
        <v>274</v>
      </c>
      <c r="E12" s="7" t="s">
        <v>56</v>
      </c>
      <c r="F12" s="20" t="s">
        <v>347</v>
      </c>
      <c r="G12" s="3" t="s">
        <v>312</v>
      </c>
      <c r="H12" s="7">
        <v>61</v>
      </c>
      <c r="I12" s="7" cm="1">
        <f t="array" ref="I12">_xlfn.IFS(H12/75*100&gt;=90,4,H12/75*100&gt;=80,3.6,H12/75*100&gt;=70,3.2,H12/75*100&gt;=60,2.8,H12/75*100&gt;=50,2.4,H12/75*100&gt;=40,2,H12/75*100&gt;=35,1.6,TRUE, 0)</f>
        <v>3.6</v>
      </c>
      <c r="J12" s="7" t="str" cm="1">
        <f t="array" ref="J12">_xlfn.IFS(I12=4,"A+",I12=3.6,"A",I12=3.2,"B+",I12=2.8,"B",I12=2.4,"C+",I12=2,"C",I12=1.6,"D",TRUE,"NG")</f>
        <v>A</v>
      </c>
      <c r="K12" s="7" cm="1">
        <f t="array" ref="K12">_xlfn.IFS(H12&gt;=70,25,H12&gt;=60,24,H12&gt;=50,23,H12&gt;=40,22,H12&gt;=30,21,TRUE,20)</f>
        <v>24</v>
      </c>
      <c r="L12" s="7" cm="1">
        <f t="array" ref="L12">_xlfn.IFS(K12/25*100&gt;=90,4,K12/25*100&gt;=80,3.6,K12/25*100&gt;=70,3.2,K12/25*100&gt;=60,2.8,K12/25*100&gt;=50,2.4,K12/25*100&gt;=40,2,K12/25*100&gt;=35,1.6,TRUE, 0)</f>
        <v>4</v>
      </c>
      <c r="M12" s="7" t="str" cm="1">
        <f t="array" ref="M12">_xlfn.IFS(L12=4,"A+",L12=3.6,"A",L12=3.2,"B+",L12=2.8,"B",L12=2.4,"C+",L12=2,"C",L12=1.6,"D",TRUE,"NG")</f>
        <v>A+</v>
      </c>
      <c r="N12" s="7">
        <f t="shared" si="0"/>
        <v>3.7</v>
      </c>
      <c r="O12" s="7" t="str" cm="1">
        <f t="array" ref="O12">_xlfn.IFS(AND(N12&lt;=4,N12&gt;3.6),"A+",AND(N12&lt;=3.6,N12&gt;3.2),"A",AND(N12&lt;=3.2,N12&gt;2.8),"B+",AND(N12&lt;=2.8,N12&gt;2.4),"B",AND(N12&lt;=2.4,N12&gt;2),"C+",AND(N12&lt;=2,N12&gt;1.6),"C",N12=1.6,"D",TRUE,"NG")</f>
        <v>A+</v>
      </c>
      <c r="P12" s="7">
        <v>52</v>
      </c>
      <c r="Q12" s="7" cm="1">
        <f t="array" ref="Q12">_xlfn.IFS(P12/75*100&gt;=90,4,P12/75*100&gt;=80,3.6,P12/75*100&gt;=70,3.2,P12/75*100&gt;=60,2.8,P12/75*100&gt;=50,2.4,P12/75*100&gt;=40,2,P12/75*100&gt;=35,1.6,TRUE, 0)</f>
        <v>2.8</v>
      </c>
      <c r="R12" s="7" t="str" cm="1">
        <f t="array" ref="R12">_xlfn.IFS(Q12=4,"A+",Q12=3.6,"A",Q12=3.2,"B+",Q12=2.8,"B",Q12=2.4,"C+",Q12=2,"C",Q12=1.6,"D",TRUE,"NG")</f>
        <v>B</v>
      </c>
      <c r="S12" s="7" cm="1">
        <f t="array" ref="S12">_xlfn.IFS(P12&gt;=70,25,P12&gt;=60,24,P12&gt;=50,23,P12&gt;=40,22,P12&gt;=30,21,TRUE,20)</f>
        <v>23</v>
      </c>
      <c r="T12" s="7" cm="1">
        <f t="array" ref="T12">_xlfn.IFS(S12/25*100&gt;=90,4,S12/25*100&gt;=80,3.6,S12/25*100&gt;=70,3.2,S12/25*100&gt;=60,2.8,S12/25*100&gt;=50,2.4,S12/25*100&gt;=40,2,S12/25*100&gt;=35,1.6,TRUE, 0)</f>
        <v>4</v>
      </c>
      <c r="U12" s="7" t="str" cm="1">
        <f t="array" ref="U12">_xlfn.IFS(T12=4,"A+",T12=3.6,"A",T12=3.2,"B+",T12=2.8,"B",T12=2.4,"C+",T12=2,"C",T12=1.6,"D",TRUE,"NG")</f>
        <v>A+</v>
      </c>
      <c r="V12" s="7">
        <f t="shared" si="1"/>
        <v>3.1</v>
      </c>
      <c r="W12" s="7" t="str" cm="1">
        <f t="array" ref="W12">_xlfn.IFS(AND(V12&lt;=4,V12&gt;3.6),"A+",AND(V12&lt;=3.6,V12&gt;3.2),"A",AND(V12&lt;=3.2,V12&gt;2.8),"B+",AND(V12&lt;=2.8,V12&gt;2.4),"B",AND(V12&lt;=2.4,V12&gt;2),"C+",AND(V12&lt;=2,V12&gt;1.6),"C",V12=1.6,"D",TRUE,"NG")</f>
        <v>B+</v>
      </c>
      <c r="X12" s="7">
        <v>59</v>
      </c>
      <c r="Y12" s="7" cm="1">
        <f t="array" ref="Y12">_xlfn.IFS(X12/75*100&gt;=90,4,X12/75*100&gt;=80,3.6,X12/75*100&gt;=70,3.2,X12/75*100&gt;=60,2.8,X12/75*100&gt;=50,2.4,X12/75*100&gt;=40,2,X12/75*100&gt;=35,1.6,TRUE, 0)</f>
        <v>3.2</v>
      </c>
      <c r="Z12" s="7" t="str" cm="1">
        <f t="array" ref="Z12">_xlfn.IFS(Y12=4,"A+",Y12=3.6,"A",Y12=3.2,"B+",Y12=2.8,"B",Y12=2.4,"C+",Y12=2,"C",Y12=1.6,"D",TRUE,"NG")</f>
        <v>B+</v>
      </c>
      <c r="AA12" s="7" cm="1">
        <f t="array" ref="AA12">_xlfn.IFS(X12&gt;=70,25,X12&gt;=60,24,X12&gt;=50,23,X12&gt;=40,22,X12&gt;=30,21,TRUE,20)</f>
        <v>23</v>
      </c>
      <c r="AB12" s="7" cm="1">
        <f t="array" ref="AB12">_xlfn.IFS(AA12/25*100&gt;=90,4,AA12/25*100&gt;=80,3.6,AA12/25*100&gt;=70,3.2,AA12/25*100&gt;=60,2.8,AA12/25*100&gt;=50,2.4,AA12/25*100&gt;=40,2,AA12/25*100&gt;=35,1.6,TRUE, 0)</f>
        <v>4</v>
      </c>
      <c r="AC12" s="7" t="str" cm="1">
        <f t="array" ref="AC12">_xlfn.IFS(AB12=4,"A+",AB12=3.6,"A",AB12=3.2,"B+",AB12=2.8,"B",AB12=2.4,"C+",AB12=2,"C",AB12=1.6,"D",TRUE,"NG")</f>
        <v>A+</v>
      </c>
      <c r="AD12" s="7">
        <f t="shared" si="2"/>
        <v>3.4</v>
      </c>
      <c r="AE12" s="7" t="str" cm="1">
        <f t="array" ref="AE12">_xlfn.IFS(AND(AD12&lt;=4,AD12&gt;3.6),"A+",AND(AD12&lt;=3.6,AD12&gt;3.2),"A",AND(AD12&lt;=3.2,AD12&gt;2.8),"B+",AND(AD12&lt;=2.8,AD12&gt;2.4),"B",AND(AD12&lt;=2.4,AD12&gt;2),"C+",AND(AD12&lt;=2,AD12&gt;1.6),"C",AD12=1.6,"D",TRUE,"NG")</f>
        <v>A</v>
      </c>
      <c r="AF12" s="7">
        <v>65</v>
      </c>
      <c r="AG12" s="7" cm="1">
        <f t="array" ref="AG12">_xlfn.IFS(AF12/75*100&gt;=90,4,AF12/75*100&gt;=80,3.6,AF12/75*100&gt;=70,3.2,AF12/75*100&gt;=60,2.8,AF12/75*100&gt;=50,2.4,AF12/75*100&gt;=40,2,AF12/75*100&gt;=35,1.6,TRUE, 0)</f>
        <v>3.6</v>
      </c>
      <c r="AH12" s="7" t="str" cm="1">
        <f t="array" ref="AH12">_xlfn.IFS(AG12=4,"A+",AG12=3.6,"A",AG12=3.2,"B+",AG12=2.8,"B",AG12=2.4,"C+",AG12=2,"C",AG12=1.6,"D",TRUE,"NG")</f>
        <v>A</v>
      </c>
      <c r="AI12" s="7" cm="1">
        <f t="array" ref="AI12">_xlfn.IFS(AF12&gt;=70,25,AF12&gt;=60,24,AF12&gt;=50,23,AF12&gt;=40,22,AF12&gt;=30,21,TRUE,20)</f>
        <v>24</v>
      </c>
      <c r="AJ12" s="7" cm="1">
        <f t="array" ref="AJ12">_xlfn.IFS(AI12/25*100&gt;=90,4,AI12/25*100&gt;=80,3.6,AI12/25*100&gt;=70,3.2,AI12/25*100&gt;=60,2.8,AI12/25*100&gt;=50,2.4,AI12/25*100&gt;=40,2,AI12/25*100&gt;=35,1.6,TRUE, 0)</f>
        <v>4</v>
      </c>
      <c r="AK12" s="7" t="str" cm="1">
        <f t="array" ref="AK12">_xlfn.IFS(AJ12=4,"A+",AJ12=3.6,"A",AJ12=3.2,"B+",AJ12=2.8,"B",AJ12=2.4,"C+",AJ12=2,"C",AJ12=1.6,"D",TRUE,"NG")</f>
        <v>A+</v>
      </c>
      <c r="AL12" s="7">
        <f t="shared" si="3"/>
        <v>3.7</v>
      </c>
      <c r="AM12" s="7" t="str" cm="1">
        <f t="array" ref="AM12">_xlfn.IFS(AND(AL12&lt;=4,AL12&gt;3.6),"A+",AND(AL12&lt;=3.6,AL12&gt;3.2),"A",AND(AL12&lt;=3.2,AL12&gt;2.8),"B+",AND(AL12&lt;=2.8,AL12&gt;2.4),"B",AND(AL12&lt;=2.4,AL12&gt;2),"C+",AND(AL12&lt;=2,AL12&gt;1.6),"C",AL12=1.6,"D",TRUE,"NG")</f>
        <v>A+</v>
      </c>
      <c r="AN12" s="7">
        <v>49</v>
      </c>
      <c r="AO12" s="7" cm="1">
        <f t="array" ref="AO12">_xlfn.IFS(AN12/75*100&gt;=90,4,AN12/75*100&gt;=80,3.6,AN12/75*100&gt;=70,3.2,AN12/75*100&gt;=60,2.8,AN12/75*100&gt;=50,2.4,AN12/75*100&gt;=40,2,AN12/75*100&gt;=35,1.6,TRUE, 0)</f>
        <v>2.8</v>
      </c>
      <c r="AP12" s="7" t="str" cm="1">
        <f t="array" ref="AP12">_xlfn.IFS(AO12=4,"A+",AO12=3.6,"A",AO12=3.2,"B+",AO12=2.8,"B",AO12=2.4,"C+",AO12=2,"C",AO12=1.6,"D",TRUE,"NG")</f>
        <v>B</v>
      </c>
      <c r="AQ12" s="7" cm="1">
        <f t="array" ref="AQ12">_xlfn.IFS(AN12&gt;=70,25,AN12&gt;=60,24,AN12&gt;=50,23,AN12&gt;=40,22,AN12&gt;=30,21,TRUE,20)</f>
        <v>22</v>
      </c>
      <c r="AR12" s="7" cm="1">
        <f t="array" ref="AR12">_xlfn.IFS(AQ12/25*100&gt;=90,4,AQ12/25*100&gt;=80,3.6,AQ12/25*100&gt;=70,3.2,AQ12/25*100&gt;=60,2.8,AQ12/25*100&gt;=50,2.4,AQ12/25*100&gt;=40,2,AQ12/25*100&gt;=35,1.6,TRUE, 0)</f>
        <v>3.6</v>
      </c>
      <c r="AS12" s="7" t="str" cm="1">
        <f t="array" ref="AS12">_xlfn.IFS(AR12=4,"A+",AR12=3.6,"A",AR12=3.2,"B+",AR12=2.8,"B",AR12=2.4,"C+",AR12=2,"C",AR12=1.6,"D",TRUE,"NG")</f>
        <v>A</v>
      </c>
      <c r="AT12" s="7">
        <f t="shared" si="4"/>
        <v>3</v>
      </c>
      <c r="AU12" s="7" t="str" cm="1">
        <f t="array" ref="AU12">_xlfn.IFS(AND(AT12&lt;=4,AT12&gt;3.6),"A+",AND(AT12&lt;=3.6,AT12&gt;3.2),"A",AND(AT12&lt;=3.2,AT12&gt;2.8),"B+",AND(AT12&lt;=2.8,AT12&gt;2.4),"B",AND(AT12&lt;=2.4,AT12&gt;2),"C+",AND(AT12&lt;=2,AT12&gt;1.6),"C",AT12=1.6,"D",TRUE,"NG")</f>
        <v>B+</v>
      </c>
      <c r="AV12" s="7">
        <v>62</v>
      </c>
      <c r="AW12" s="7" cm="1">
        <f t="array" ref="AW12">IF(E12="BS",(_xlfn.IFS(AV12/75*100&gt;=90,4,AV12/75*100&gt;=80,3.6,AV12/75*100&gt;=70,3.2,AV12/75*100&gt;=60,2.8,AV12/75*100&gt;=50,2.4,AV12/75*100&gt;=40,2,AV12/75*100&gt;=35,1.6,TRUE, 0)),(_xlfn.IFS(AV12/50*100&gt;=90,4,AV12/50*100&gt;=80,3.6,AV12/50*100&gt;=70,3.2,AV12/50*100&gt;=60,2.8,AV12/50*100&gt;=50,2.4,AV12/50*100&gt;=40,2,AV12/50*100&gt;=35,1.6,TRUE, 0)))</f>
        <v>3.6</v>
      </c>
      <c r="AX12" s="7" t="str" cm="1">
        <f t="array" ref="AX12">_xlfn.IFS(AW12="-","-",AW12=4,"A+",AW12=3.6,"A",AW12=3.2,"B+",AW12=2.8,"B",AW12=2.4,"C+",AW12=2,"C",AW12=1.6,"D",TRUE,"NG")</f>
        <v>A</v>
      </c>
      <c r="AY12" s="7" cm="1">
        <f t="array" ref="AY12">IF(E12="BS",(_xlfn.IFS(AV12&gt;=70,25,AV12&gt;=60,24,AV12&gt;=50,23,AV12&gt;=40,22,AV12&gt;=30,21,TRUE,20)),(_xlfn.IFS(AV12&gt;=45,48,AV12&gt;=40,46,AV12&gt;=35,44,AV12&gt;=30,40,AV12&gt;=25,38,TRUE,20)))</f>
        <v>24</v>
      </c>
      <c r="AZ12" s="7" cm="1">
        <f t="array" ref="AZ12">IF(E12="BS",(_xlfn.IFS(AY12/25*100&gt;=90,4,AY12/25*100&gt;=80,3.6,AY12/25*100&gt;=70,3.2,AY12/25*100&gt;=60,2.8,AY12/25*100&gt;=50,2.4,AY12/25*100&gt;=40,2,AY12/25*100&gt;=35,1.6,TRUE, 0)),(_xlfn.IFS(AY12/50*100&gt;=90,4,AY12/50*100&gt;=80,3.6,AY12/50*100&gt;=70,3.2,AY12/50*100&gt;=60,2.8,AY12/50*100&gt;=50,2.4,AY12/50*100&gt;=40,2,AY12/50*100&gt;=35,1.6,TRUE, 0)))</f>
        <v>4</v>
      </c>
      <c r="BA12" s="7" t="str" cm="1">
        <f t="array" ref="BA12">_xlfn.IFS(AZ12="-","-",AZ12=4,"A+",AZ12=3.6,"A",AZ12=3.2,"B+",AZ12=2.8,"B",AZ12=2.4,"C+",AZ12=2,"C",AZ12=1.6,"D",TRUE,"NG")</f>
        <v>A+</v>
      </c>
      <c r="BB12" s="7">
        <f>IF(E12="BS",(AW12*3.75+AZ12*1.25)/5,(AW12*2.5+AZ12*2.5)/5)</f>
        <v>3.7</v>
      </c>
      <c r="BC12" s="7" t="str" cm="1">
        <f t="array" ref="BC12">_xlfn.IFS(BB12="-","-",AND(BB12&lt;=4,BB12&gt;3.6),"A+",AND(BB12&lt;=3.6,BB12&gt;3.2),"A",AND(BB12&lt;=3.2,BB12&gt;2.8),"B+",AND(BB12&lt;=2.8,BB12&gt;2.4),"B",AND(BB12&lt;=2.4,BB12&gt;2),"C+",AND(BB12&lt;=2,BB12&gt;1.6),"C",BB12=1.6,"D",TRUE,"NG")</f>
        <v>A+</v>
      </c>
      <c r="BD12" s="12">
        <f>IF(E12="BS",(((I12*3+L12*1)+(Q12*2.25+T12*0.75)+(Y12*3.75+AB12*1.25)+(AG12*3.75+AJ12*1.25)+(AO12*3.75+AR12*1.25)+(AW12*3.75+AZ12*1.25))/(4+3+5*4)),(((I12*3+L12*1)+(Q12*2.25+T12*0.75)+(Y12*3.75+AB12*1.25)+(AG12*3.75+AJ12*1.25)+(AO12*3.75+AR12*1.25)+(AW12*2.5+AZ12*2.5))/(4+3+5*4)))</f>
        <v>3.4481481481481477</v>
      </c>
    </row>
    <row r="13" spans="1:56" x14ac:dyDescent="0.3">
      <c r="A13" s="2">
        <v>12</v>
      </c>
      <c r="B13" s="16">
        <v>793270280058</v>
      </c>
      <c r="C13" s="17">
        <v>12706909</v>
      </c>
      <c r="D13" s="3" t="s">
        <v>275</v>
      </c>
      <c r="E13" s="7" t="s">
        <v>56</v>
      </c>
      <c r="F13" s="20" t="s">
        <v>348</v>
      </c>
      <c r="G13" s="3" t="s">
        <v>313</v>
      </c>
      <c r="H13" s="7">
        <v>54</v>
      </c>
      <c r="I13" s="7" cm="1">
        <f t="array" ref="I13">_xlfn.IFS(H13/75*100&gt;=90,4,H13/75*100&gt;=80,3.6,H13/75*100&gt;=70,3.2,H13/75*100&gt;=60,2.8,H13/75*100&gt;=50,2.4,H13/75*100&gt;=40,2,H13/75*100&gt;=35,1.6,TRUE, 0)</f>
        <v>3.2</v>
      </c>
      <c r="J13" s="7" t="str" cm="1">
        <f t="array" ref="J13">_xlfn.IFS(I13=4,"A+",I13=3.6,"A",I13=3.2,"B+",I13=2.8,"B",I13=2.4,"C+",I13=2,"C",I13=1.6,"D",TRUE,"NG")</f>
        <v>B+</v>
      </c>
      <c r="K13" s="7" cm="1">
        <f t="array" ref="K13">_xlfn.IFS(H13&gt;=70,25,H13&gt;=60,24,H13&gt;=50,23,H13&gt;=40,22,H13&gt;=30,21,TRUE,20)</f>
        <v>23</v>
      </c>
      <c r="L13" s="7" cm="1">
        <f t="array" ref="L13">_xlfn.IFS(K13/25*100&gt;=90,4,K13/25*100&gt;=80,3.6,K13/25*100&gt;=70,3.2,K13/25*100&gt;=60,2.8,K13/25*100&gt;=50,2.4,K13/25*100&gt;=40,2,K13/25*100&gt;=35,1.6,TRUE, 0)</f>
        <v>4</v>
      </c>
      <c r="M13" s="7" t="str" cm="1">
        <f t="array" ref="M13">_xlfn.IFS(L13=4,"A+",L13=3.6,"A",L13=3.2,"B+",L13=2.8,"B",L13=2.4,"C+",L13=2,"C",L13=1.6,"D",TRUE,"NG")</f>
        <v>A+</v>
      </c>
      <c r="N13" s="7">
        <f t="shared" si="0"/>
        <v>3.4000000000000004</v>
      </c>
      <c r="O13" s="7" t="str" cm="1">
        <f t="array" ref="O13">_xlfn.IFS(AND(N13&lt;=4,N13&gt;3.6),"A+",AND(N13&lt;=3.6,N13&gt;3.2),"A",AND(N13&lt;=3.2,N13&gt;2.8),"B+",AND(N13&lt;=2.8,N13&gt;2.4),"B",AND(N13&lt;=2.4,N13&gt;2),"C+",AND(N13&lt;=2,N13&gt;1.6),"C",N13=1.6,"D",TRUE,"NG")</f>
        <v>A</v>
      </c>
      <c r="P13" s="7">
        <v>32</v>
      </c>
      <c r="Q13" s="7" cm="1">
        <f t="array" ref="Q13">_xlfn.IFS(P13/75*100&gt;=90,4,P13/75*100&gt;=80,3.6,P13/75*100&gt;=70,3.2,P13/75*100&gt;=60,2.8,P13/75*100&gt;=50,2.4,P13/75*100&gt;=40,2,P13/75*100&gt;=35,1.6,TRUE, 0)</f>
        <v>2</v>
      </c>
      <c r="R13" s="7" t="str" cm="1">
        <f t="array" ref="R13">_xlfn.IFS(Q13=4,"A+",Q13=3.6,"A",Q13=3.2,"B+",Q13=2.8,"B",Q13=2.4,"C+",Q13=2,"C",Q13=1.6,"D",TRUE,"NG")</f>
        <v>C</v>
      </c>
      <c r="S13" s="7" cm="1">
        <f t="array" ref="S13">_xlfn.IFS(P13&gt;=70,25,P13&gt;=60,24,P13&gt;=50,23,P13&gt;=40,22,P13&gt;=30,21,TRUE,20)</f>
        <v>21</v>
      </c>
      <c r="T13" s="7" cm="1">
        <f t="array" ref="T13">_xlfn.IFS(S13/25*100&gt;=90,4,S13/25*100&gt;=80,3.6,S13/25*100&gt;=70,3.2,S13/25*100&gt;=60,2.8,S13/25*100&gt;=50,2.4,S13/25*100&gt;=40,2,S13/25*100&gt;=35,1.6,TRUE, 0)</f>
        <v>3.6</v>
      </c>
      <c r="U13" s="7" t="str" cm="1">
        <f t="array" ref="U13">_xlfn.IFS(T13=4,"A+",T13=3.6,"A",T13=3.2,"B+",T13=2.8,"B",T13=2.4,"C+",T13=2,"C",T13=1.6,"D",TRUE,"NG")</f>
        <v>A</v>
      </c>
      <c r="V13" s="7">
        <f t="shared" si="1"/>
        <v>2.4</v>
      </c>
      <c r="W13" s="7" t="str" cm="1">
        <f t="array" ref="W13">_xlfn.IFS(AND(V13&lt;=4,V13&gt;3.6),"A+",AND(V13&lt;=3.6,V13&gt;3.2),"A",AND(V13&lt;=3.2,V13&gt;2.8),"B+",AND(V13&lt;=2.8,V13&gt;2.4),"B",AND(V13&lt;=2.4,V13&gt;2),"C+",AND(V13&lt;=2,V13&gt;1.6),"C",V13=1.6,"D",TRUE,"NG")</f>
        <v>C+</v>
      </c>
      <c r="X13" s="7">
        <v>27</v>
      </c>
      <c r="Y13" s="7" cm="1">
        <f t="array" ref="Y13">_xlfn.IFS(X13/75*100&gt;=90,4,X13/75*100&gt;=80,3.6,X13/75*100&gt;=70,3.2,X13/75*100&gt;=60,2.8,X13/75*100&gt;=50,2.4,X13/75*100&gt;=40,2,X13/75*100&gt;=35,1.6,TRUE, 0)</f>
        <v>1.6</v>
      </c>
      <c r="Z13" s="7" t="str" cm="1">
        <f t="array" ref="Z13">_xlfn.IFS(Y13=4,"A+",Y13=3.6,"A",Y13=3.2,"B+",Y13=2.8,"B",Y13=2.4,"C+",Y13=2,"C",Y13=1.6,"D",TRUE,"NG")</f>
        <v>D</v>
      </c>
      <c r="AA13" s="7" cm="1">
        <f t="array" ref="AA13">_xlfn.IFS(X13&gt;=70,25,X13&gt;=60,24,X13&gt;=50,23,X13&gt;=40,22,X13&gt;=30,21,TRUE,20)</f>
        <v>20</v>
      </c>
      <c r="AB13" s="7" cm="1">
        <f t="array" ref="AB13">_xlfn.IFS(AA13/25*100&gt;=90,4,AA13/25*100&gt;=80,3.6,AA13/25*100&gt;=70,3.2,AA13/25*100&gt;=60,2.8,AA13/25*100&gt;=50,2.4,AA13/25*100&gt;=40,2,AA13/25*100&gt;=35,1.6,TRUE, 0)</f>
        <v>3.6</v>
      </c>
      <c r="AC13" s="7" t="str" cm="1">
        <f t="array" ref="AC13">_xlfn.IFS(AB13=4,"A+",AB13=3.6,"A",AB13=3.2,"B+",AB13=2.8,"B",AB13=2.4,"C+",AB13=2,"C",AB13=1.6,"D",TRUE,"NG")</f>
        <v>A</v>
      </c>
      <c r="AD13" s="7">
        <f t="shared" si="2"/>
        <v>2.1</v>
      </c>
      <c r="AE13" s="7" t="str" cm="1">
        <f t="array" ref="AE13">_xlfn.IFS(AND(AD13&lt;=4,AD13&gt;3.6),"A+",AND(AD13&lt;=3.6,AD13&gt;3.2),"A",AND(AD13&lt;=3.2,AD13&gt;2.8),"B+",AND(AD13&lt;=2.8,AD13&gt;2.4),"B",AND(AD13&lt;=2.4,AD13&gt;2),"C+",AND(AD13&lt;=2,AD13&gt;1.6),"C",AD13=1.6,"D",TRUE,"NG")</f>
        <v>C+</v>
      </c>
      <c r="AF13" s="7">
        <v>28</v>
      </c>
      <c r="AG13" s="7" cm="1">
        <f t="array" ref="AG13">_xlfn.IFS(AF13/75*100&gt;=90,4,AF13/75*100&gt;=80,3.6,AF13/75*100&gt;=70,3.2,AF13/75*100&gt;=60,2.8,AF13/75*100&gt;=50,2.4,AF13/75*100&gt;=40,2,AF13/75*100&gt;=35,1.6,TRUE, 0)</f>
        <v>1.6</v>
      </c>
      <c r="AH13" s="7" t="str" cm="1">
        <f t="array" ref="AH13">_xlfn.IFS(AG13=4,"A+",AG13=3.6,"A",AG13=3.2,"B+",AG13=2.8,"B",AG13=2.4,"C+",AG13=2,"C",AG13=1.6,"D",TRUE,"NG")</f>
        <v>D</v>
      </c>
      <c r="AI13" s="7" cm="1">
        <f t="array" ref="AI13">_xlfn.IFS(AF13&gt;=70,25,AF13&gt;=60,24,AF13&gt;=50,23,AF13&gt;=40,22,AF13&gt;=30,21,TRUE,20)</f>
        <v>20</v>
      </c>
      <c r="AJ13" s="7" cm="1">
        <f t="array" ref="AJ13">_xlfn.IFS(AI13/25*100&gt;=90,4,AI13/25*100&gt;=80,3.6,AI13/25*100&gt;=70,3.2,AI13/25*100&gt;=60,2.8,AI13/25*100&gt;=50,2.4,AI13/25*100&gt;=40,2,AI13/25*100&gt;=35,1.6,TRUE, 0)</f>
        <v>3.6</v>
      </c>
      <c r="AK13" s="7" t="str" cm="1">
        <f t="array" ref="AK13">_xlfn.IFS(AJ13=4,"A+",AJ13=3.6,"A",AJ13=3.2,"B+",AJ13=2.8,"B",AJ13=2.4,"C+",AJ13=2,"C",AJ13=1.6,"D",TRUE,"NG")</f>
        <v>A</v>
      </c>
      <c r="AL13" s="7">
        <f t="shared" si="3"/>
        <v>2.1</v>
      </c>
      <c r="AM13" s="7" t="str" cm="1">
        <f t="array" ref="AM13">_xlfn.IFS(AND(AL13&lt;=4,AL13&gt;3.6),"A+",AND(AL13&lt;=3.6,AL13&gt;3.2),"A",AND(AL13&lt;=3.2,AL13&gt;2.8),"B+",AND(AL13&lt;=2.8,AL13&gt;2.4),"B",AND(AL13&lt;=2.4,AL13&gt;2),"C+",AND(AL13&lt;=2,AL13&gt;1.6),"C",AL13=1.6,"D",TRUE,"NG")</f>
        <v>C+</v>
      </c>
      <c r="AN13" s="7">
        <v>37</v>
      </c>
      <c r="AO13" s="7" cm="1">
        <f t="array" ref="AO13">_xlfn.IFS(AN13/75*100&gt;=90,4,AN13/75*100&gt;=80,3.6,AN13/75*100&gt;=70,3.2,AN13/75*100&gt;=60,2.8,AN13/75*100&gt;=50,2.4,AN13/75*100&gt;=40,2,AN13/75*100&gt;=35,1.6,TRUE, 0)</f>
        <v>2</v>
      </c>
      <c r="AP13" s="7" t="str" cm="1">
        <f t="array" ref="AP13">_xlfn.IFS(AO13=4,"A+",AO13=3.6,"A",AO13=3.2,"B+",AO13=2.8,"B",AO13=2.4,"C+",AO13=2,"C",AO13=1.6,"D",TRUE,"NG")</f>
        <v>C</v>
      </c>
      <c r="AQ13" s="7" cm="1">
        <f t="array" ref="AQ13">_xlfn.IFS(AN13&gt;=70,25,AN13&gt;=60,24,AN13&gt;=50,23,AN13&gt;=40,22,AN13&gt;=30,21,TRUE,20)</f>
        <v>21</v>
      </c>
      <c r="AR13" s="7" cm="1">
        <f t="array" ref="AR13">_xlfn.IFS(AQ13/25*100&gt;=90,4,AQ13/25*100&gt;=80,3.6,AQ13/25*100&gt;=70,3.2,AQ13/25*100&gt;=60,2.8,AQ13/25*100&gt;=50,2.4,AQ13/25*100&gt;=40,2,AQ13/25*100&gt;=35,1.6,TRUE, 0)</f>
        <v>3.6</v>
      </c>
      <c r="AS13" s="7" t="str" cm="1">
        <f t="array" ref="AS13">_xlfn.IFS(AR13=4,"A+",AR13=3.6,"A",AR13=3.2,"B+",AR13=2.8,"B",AR13=2.4,"C+",AR13=2,"C",AR13=1.6,"D",TRUE,"NG")</f>
        <v>A</v>
      </c>
      <c r="AT13" s="7">
        <f t="shared" si="4"/>
        <v>2.4</v>
      </c>
      <c r="AU13" s="7" t="str" cm="1">
        <f t="array" ref="AU13">_xlfn.IFS(AND(AT13&lt;=4,AT13&gt;3.6),"A+",AND(AT13&lt;=3.6,AT13&gt;3.2),"A",AND(AT13&lt;=3.2,AT13&gt;2.8),"B+",AND(AT13&lt;=2.8,AT13&gt;2.4),"B",AND(AT13&lt;=2.4,AT13&gt;2),"C+",AND(AT13&lt;=2,AT13&gt;1.6),"C",AT13=1.6,"D",TRUE,"NG")</f>
        <v>C+</v>
      </c>
      <c r="AV13" s="7">
        <v>30</v>
      </c>
      <c r="AW13" s="7" cm="1">
        <f t="array" ref="AW13">IF(E13="BS",(_xlfn.IFS(AV13/75*100&gt;=90,4,AV13/75*100&gt;=80,3.6,AV13/75*100&gt;=70,3.2,AV13/75*100&gt;=60,2.8,AV13/75*100&gt;=50,2.4,AV13/75*100&gt;=40,2,AV13/75*100&gt;=35,1.6,TRUE, 0)),(_xlfn.IFS(AV13/50*100&gt;=90,4,AV13/50*100&gt;=80,3.6,AV13/50*100&gt;=70,3.2,AV13/50*100&gt;=60,2.8,AV13/50*100&gt;=50,2.4,AV13/50*100&gt;=40,2,AV13/50*100&gt;=35,1.6,TRUE, 0)))</f>
        <v>2</v>
      </c>
      <c r="AX13" s="7" t="str" cm="1">
        <f t="array" ref="AX13">_xlfn.IFS(AW13="-","-",AW13=4,"A+",AW13=3.6,"A",AW13=3.2,"B+",AW13=2.8,"B",AW13=2.4,"C+",AW13=2,"C",AW13=1.6,"D",TRUE,"NG")</f>
        <v>C</v>
      </c>
      <c r="AY13" s="7" cm="1">
        <f t="array" ref="AY13">IF(E13="BS",(_xlfn.IFS(AV13&gt;=70,25,AV13&gt;=60,24,AV13&gt;=50,23,AV13&gt;=40,22,AV13&gt;=30,21,TRUE,20)),(_xlfn.IFS(AV13&gt;=45,48,AV13&gt;=40,46,AV13&gt;=35,44,AV13&gt;=30,40,AV13&gt;=25,38,TRUE,20)))</f>
        <v>21</v>
      </c>
      <c r="AZ13" s="7" cm="1">
        <f t="array" ref="AZ13">IF(E13="BS",(_xlfn.IFS(AY13/25*100&gt;=90,4,AY13/25*100&gt;=80,3.6,AY13/25*100&gt;=70,3.2,AY13/25*100&gt;=60,2.8,AY13/25*100&gt;=50,2.4,AY13/25*100&gt;=40,2,AY13/25*100&gt;=35,1.6,TRUE, 0)),(_xlfn.IFS(AY13/50*100&gt;=90,4,AY13/50*100&gt;=80,3.6,AY13/50*100&gt;=70,3.2,AY13/50*100&gt;=60,2.8,AY13/50*100&gt;=50,2.4,AY13/50*100&gt;=40,2,AY13/50*100&gt;=35,1.6,TRUE, 0)))</f>
        <v>3.6</v>
      </c>
      <c r="BA13" s="7" t="str" cm="1">
        <f t="array" ref="BA13">_xlfn.IFS(AZ13="-","-",AZ13=4,"A+",AZ13=3.6,"A",AZ13=3.2,"B+",AZ13=2.8,"B",AZ13=2.4,"C+",AZ13=2,"C",AZ13=1.6,"D",TRUE,"NG")</f>
        <v>A</v>
      </c>
      <c r="BB13" s="7">
        <f>IF(E13="BS",(AW13*3.75+AZ13*1.25)/5,(AW13*2.5+AZ13*2.5)/5)</f>
        <v>2.4</v>
      </c>
      <c r="BC13" s="7" t="str" cm="1">
        <f t="array" ref="BC13">_xlfn.IFS(BB13="-","-",AND(BB13&lt;=4,BB13&gt;3.6),"A+",AND(BB13&lt;=3.6,BB13&gt;3.2),"A",AND(BB13&lt;=3.2,BB13&gt;2.8),"B+",AND(BB13&lt;=2.8,BB13&gt;2.4),"B",AND(BB13&lt;=2.4,BB13&gt;2),"C+",AND(BB13&lt;=2,BB13&gt;1.6),"C",BB13=1.6,"D",TRUE,"NG")</f>
        <v>C+</v>
      </c>
      <c r="BD13" s="12">
        <f>IF(E13="BS",(((I13*3+L13*1)+(Q13*2.25+T13*0.75)+(Y13*3.75+AB13*1.25)+(AG13*3.75+AJ13*1.25)+(AO13*3.75+AR13*1.25)+(AW13*3.75+AZ13*1.25))/(4+3+5*4)),(((I13*3+L13*1)+(Q13*2.25+T13*0.75)+(Y13*3.75+AB13*1.25)+(AG13*3.75+AJ13*1.25)+(AO13*3.75+AR13*1.25)+(AW13*2.5+AZ13*2.5))/(4+3+5*4)))</f>
        <v>2.4370370370370371</v>
      </c>
    </row>
    <row r="14" spans="1:56" x14ac:dyDescent="0.3">
      <c r="A14" s="2">
        <v>13</v>
      </c>
      <c r="B14" s="16">
        <v>793270280060</v>
      </c>
      <c r="C14" s="17">
        <v>12706911</v>
      </c>
      <c r="D14" s="3" t="s">
        <v>276</v>
      </c>
      <c r="E14" s="7" t="s">
        <v>56</v>
      </c>
      <c r="F14" s="20" t="s">
        <v>349</v>
      </c>
      <c r="G14" s="3" t="s">
        <v>314</v>
      </c>
      <c r="H14" s="7">
        <v>45</v>
      </c>
      <c r="I14" s="7" cm="1">
        <f t="array" ref="I14">_xlfn.IFS(H14/75*100&gt;=90,4,H14/75*100&gt;=80,3.6,H14/75*100&gt;=70,3.2,H14/75*100&gt;=60,2.8,H14/75*100&gt;=50,2.4,H14/75*100&gt;=40,2,H14/75*100&gt;=35,1.6,TRUE, 0)</f>
        <v>2.8</v>
      </c>
      <c r="J14" s="7" t="str" cm="1">
        <f t="array" ref="J14">_xlfn.IFS(I14=4,"A+",I14=3.6,"A",I14=3.2,"B+",I14=2.8,"B",I14=2.4,"C+",I14=2,"C",I14=1.6,"D",TRUE,"NG")</f>
        <v>B</v>
      </c>
      <c r="K14" s="7" cm="1">
        <f t="array" ref="K14">_xlfn.IFS(H14&gt;=70,25,H14&gt;=60,24,H14&gt;=50,23,H14&gt;=40,22,H14&gt;=30,21,TRUE,20)</f>
        <v>22</v>
      </c>
      <c r="L14" s="7" cm="1">
        <f t="array" ref="L14">_xlfn.IFS(K14/25*100&gt;=90,4,K14/25*100&gt;=80,3.6,K14/25*100&gt;=70,3.2,K14/25*100&gt;=60,2.8,K14/25*100&gt;=50,2.4,K14/25*100&gt;=40,2,K14/25*100&gt;=35,1.6,TRUE, 0)</f>
        <v>3.6</v>
      </c>
      <c r="M14" s="7" t="str" cm="1">
        <f t="array" ref="M14">_xlfn.IFS(L14=4,"A+",L14=3.6,"A",L14=3.2,"B+",L14=2.8,"B",L14=2.4,"C+",L14=2,"C",L14=1.6,"D",TRUE,"NG")</f>
        <v>A</v>
      </c>
      <c r="N14" s="7">
        <f t="shared" si="0"/>
        <v>2.9999999999999996</v>
      </c>
      <c r="O14" s="7" t="str" cm="1">
        <f t="array" ref="O14">_xlfn.IFS(AND(N14&lt;=4,N14&gt;3.6),"A+",AND(N14&lt;=3.6,N14&gt;3.2),"A",AND(N14&lt;=3.2,N14&gt;2.8),"B+",AND(N14&lt;=2.8,N14&gt;2.4),"B",AND(N14&lt;=2.4,N14&gt;2),"C+",AND(N14&lt;=2,N14&gt;1.6),"C",N14=1.6,"D",TRUE,"NG")</f>
        <v>B+</v>
      </c>
      <c r="P14" s="7">
        <v>38</v>
      </c>
      <c r="Q14" s="7" cm="1">
        <f t="array" ref="Q14">_xlfn.IFS(P14/75*100&gt;=90,4,P14/75*100&gt;=80,3.6,P14/75*100&gt;=70,3.2,P14/75*100&gt;=60,2.8,P14/75*100&gt;=50,2.4,P14/75*100&gt;=40,2,P14/75*100&gt;=35,1.6,TRUE, 0)</f>
        <v>2.4</v>
      </c>
      <c r="R14" s="7" t="str" cm="1">
        <f t="array" ref="R14">_xlfn.IFS(Q14=4,"A+",Q14=3.6,"A",Q14=3.2,"B+",Q14=2.8,"B",Q14=2.4,"C+",Q14=2,"C",Q14=1.6,"D",TRUE,"NG")</f>
        <v>C+</v>
      </c>
      <c r="S14" s="7" cm="1">
        <f t="array" ref="S14">_xlfn.IFS(P14&gt;=70,25,P14&gt;=60,24,P14&gt;=50,23,P14&gt;=40,22,P14&gt;=30,21,TRUE,20)</f>
        <v>21</v>
      </c>
      <c r="T14" s="7" cm="1">
        <f t="array" ref="T14">_xlfn.IFS(S14/25*100&gt;=90,4,S14/25*100&gt;=80,3.6,S14/25*100&gt;=70,3.2,S14/25*100&gt;=60,2.8,S14/25*100&gt;=50,2.4,S14/25*100&gt;=40,2,S14/25*100&gt;=35,1.6,TRUE, 0)</f>
        <v>3.6</v>
      </c>
      <c r="U14" s="7" t="str" cm="1">
        <f t="array" ref="U14">_xlfn.IFS(T14=4,"A+",T14=3.6,"A",T14=3.2,"B+",T14=2.8,"B",T14=2.4,"C+",T14=2,"C",T14=1.6,"D",TRUE,"NG")</f>
        <v>A</v>
      </c>
      <c r="V14" s="7">
        <f t="shared" si="1"/>
        <v>2.6999999999999997</v>
      </c>
      <c r="W14" s="7" t="str" cm="1">
        <f t="array" ref="W14">_xlfn.IFS(AND(V14&lt;=4,V14&gt;3.6),"A+",AND(V14&lt;=3.6,V14&gt;3.2),"A",AND(V14&lt;=3.2,V14&gt;2.8),"B+",AND(V14&lt;=2.8,V14&gt;2.4),"B",AND(V14&lt;=2.4,V14&gt;2),"C+",AND(V14&lt;=2,V14&gt;1.6),"C",V14=1.6,"D",TRUE,"NG")</f>
        <v>B</v>
      </c>
      <c r="X14" s="7">
        <v>30</v>
      </c>
      <c r="Y14" s="7" cm="1">
        <f t="array" ref="Y14">_xlfn.IFS(X14/75*100&gt;=90,4,X14/75*100&gt;=80,3.6,X14/75*100&gt;=70,3.2,X14/75*100&gt;=60,2.8,X14/75*100&gt;=50,2.4,X14/75*100&gt;=40,2,X14/75*100&gt;=35,1.6,TRUE, 0)</f>
        <v>2</v>
      </c>
      <c r="Z14" s="7" t="str" cm="1">
        <f t="array" ref="Z14">_xlfn.IFS(Y14=4,"A+",Y14=3.6,"A",Y14=3.2,"B+",Y14=2.8,"B",Y14=2.4,"C+",Y14=2,"C",Y14=1.6,"D",TRUE,"NG")</f>
        <v>C</v>
      </c>
      <c r="AA14" s="7" cm="1">
        <f t="array" ref="AA14">_xlfn.IFS(X14&gt;=70,25,X14&gt;=60,24,X14&gt;=50,23,X14&gt;=40,22,X14&gt;=30,21,TRUE,20)</f>
        <v>21</v>
      </c>
      <c r="AB14" s="7" cm="1">
        <f t="array" ref="AB14">_xlfn.IFS(AA14/25*100&gt;=90,4,AA14/25*100&gt;=80,3.6,AA14/25*100&gt;=70,3.2,AA14/25*100&gt;=60,2.8,AA14/25*100&gt;=50,2.4,AA14/25*100&gt;=40,2,AA14/25*100&gt;=35,1.6,TRUE, 0)</f>
        <v>3.6</v>
      </c>
      <c r="AC14" s="7" t="str" cm="1">
        <f t="array" ref="AC14">_xlfn.IFS(AB14=4,"A+",AB14=3.6,"A",AB14=3.2,"B+",AB14=2.8,"B",AB14=2.4,"C+",AB14=2,"C",AB14=1.6,"D",TRUE,"NG")</f>
        <v>A</v>
      </c>
      <c r="AD14" s="7">
        <f t="shared" si="2"/>
        <v>2.4</v>
      </c>
      <c r="AE14" s="7" t="str" cm="1">
        <f t="array" ref="AE14">_xlfn.IFS(AND(AD14&lt;=4,AD14&gt;3.6),"A+",AND(AD14&lt;=3.6,AD14&gt;3.2),"A",AND(AD14&lt;=3.2,AD14&gt;2.8),"B+",AND(AD14&lt;=2.8,AD14&gt;2.4),"B",AND(AD14&lt;=2.4,AD14&gt;2),"C+",AND(AD14&lt;=2,AD14&gt;1.6),"C",AD14=1.6,"D",TRUE,"NG")</f>
        <v>C+</v>
      </c>
      <c r="AF14" s="7">
        <v>45</v>
      </c>
      <c r="AG14" s="7" cm="1">
        <f t="array" ref="AG14">_xlfn.IFS(AF14/75*100&gt;=90,4,AF14/75*100&gt;=80,3.6,AF14/75*100&gt;=70,3.2,AF14/75*100&gt;=60,2.8,AF14/75*100&gt;=50,2.4,AF14/75*100&gt;=40,2,AF14/75*100&gt;=35,1.6,TRUE, 0)</f>
        <v>2.8</v>
      </c>
      <c r="AH14" s="7" t="str" cm="1">
        <f t="array" ref="AH14">_xlfn.IFS(AG14=4,"A+",AG14=3.6,"A",AG14=3.2,"B+",AG14=2.8,"B",AG14=2.4,"C+",AG14=2,"C",AG14=1.6,"D",TRUE,"NG")</f>
        <v>B</v>
      </c>
      <c r="AI14" s="7" cm="1">
        <f t="array" ref="AI14">_xlfn.IFS(AF14&gt;=70,25,AF14&gt;=60,24,AF14&gt;=50,23,AF14&gt;=40,22,AF14&gt;=30,21,TRUE,20)</f>
        <v>22</v>
      </c>
      <c r="AJ14" s="7" cm="1">
        <f t="array" ref="AJ14">_xlfn.IFS(AI14/25*100&gt;=90,4,AI14/25*100&gt;=80,3.6,AI14/25*100&gt;=70,3.2,AI14/25*100&gt;=60,2.8,AI14/25*100&gt;=50,2.4,AI14/25*100&gt;=40,2,AI14/25*100&gt;=35,1.6,TRUE, 0)</f>
        <v>3.6</v>
      </c>
      <c r="AK14" s="7" t="str" cm="1">
        <f t="array" ref="AK14">_xlfn.IFS(AJ14=4,"A+",AJ14=3.6,"A",AJ14=3.2,"B+",AJ14=2.8,"B",AJ14=2.4,"C+",AJ14=2,"C",AJ14=1.6,"D",TRUE,"NG")</f>
        <v>A</v>
      </c>
      <c r="AL14" s="7">
        <f t="shared" si="3"/>
        <v>3</v>
      </c>
      <c r="AM14" s="7" t="str" cm="1">
        <f t="array" ref="AM14">_xlfn.IFS(AND(AL14&lt;=4,AL14&gt;3.6),"A+",AND(AL14&lt;=3.6,AL14&gt;3.2),"A",AND(AL14&lt;=3.2,AL14&gt;2.8),"B+",AND(AL14&lt;=2.8,AL14&gt;2.4),"B",AND(AL14&lt;=2.4,AL14&gt;2),"C+",AND(AL14&lt;=2,AL14&gt;1.6),"C",AL14=1.6,"D",TRUE,"NG")</f>
        <v>B+</v>
      </c>
      <c r="AN14" s="7">
        <v>47</v>
      </c>
      <c r="AO14" s="7" cm="1">
        <f t="array" ref="AO14">_xlfn.IFS(AN14/75*100&gt;=90,4,AN14/75*100&gt;=80,3.6,AN14/75*100&gt;=70,3.2,AN14/75*100&gt;=60,2.8,AN14/75*100&gt;=50,2.4,AN14/75*100&gt;=40,2,AN14/75*100&gt;=35,1.6,TRUE, 0)</f>
        <v>2.8</v>
      </c>
      <c r="AP14" s="7" t="str" cm="1">
        <f t="array" ref="AP14">_xlfn.IFS(AO14=4,"A+",AO14=3.6,"A",AO14=3.2,"B+",AO14=2.8,"B",AO14=2.4,"C+",AO14=2,"C",AO14=1.6,"D",TRUE,"NG")</f>
        <v>B</v>
      </c>
      <c r="AQ14" s="7" cm="1">
        <f t="array" ref="AQ14">_xlfn.IFS(AN14&gt;=70,25,AN14&gt;=60,24,AN14&gt;=50,23,AN14&gt;=40,22,AN14&gt;=30,21,TRUE,20)</f>
        <v>22</v>
      </c>
      <c r="AR14" s="7" cm="1">
        <f t="array" ref="AR14">_xlfn.IFS(AQ14/25*100&gt;=90,4,AQ14/25*100&gt;=80,3.6,AQ14/25*100&gt;=70,3.2,AQ14/25*100&gt;=60,2.8,AQ14/25*100&gt;=50,2.4,AQ14/25*100&gt;=40,2,AQ14/25*100&gt;=35,1.6,TRUE, 0)</f>
        <v>3.6</v>
      </c>
      <c r="AS14" s="7" t="str" cm="1">
        <f t="array" ref="AS14">_xlfn.IFS(AR14=4,"A+",AR14=3.6,"A",AR14=3.2,"B+",AR14=2.8,"B",AR14=2.4,"C+",AR14=2,"C",AR14=1.6,"D",TRUE,"NG")</f>
        <v>A</v>
      </c>
      <c r="AT14" s="7">
        <f t="shared" si="4"/>
        <v>3</v>
      </c>
      <c r="AU14" s="7" t="str" cm="1">
        <f t="array" ref="AU14">_xlfn.IFS(AND(AT14&lt;=4,AT14&gt;3.6),"A+",AND(AT14&lt;=3.6,AT14&gt;3.2),"A",AND(AT14&lt;=3.2,AT14&gt;2.8),"B+",AND(AT14&lt;=2.8,AT14&gt;2.4),"B",AND(AT14&lt;=2.4,AT14&gt;2),"C+",AND(AT14&lt;=2,AT14&gt;1.6),"C",AT14=1.6,"D",TRUE,"NG")</f>
        <v>B+</v>
      </c>
      <c r="AV14" s="7">
        <v>32</v>
      </c>
      <c r="AW14" s="7" cm="1">
        <f t="array" ref="AW14">IF(E14="BS",(_xlfn.IFS(AV14/75*100&gt;=90,4,AV14/75*100&gt;=80,3.6,AV14/75*100&gt;=70,3.2,AV14/75*100&gt;=60,2.8,AV14/75*100&gt;=50,2.4,AV14/75*100&gt;=40,2,AV14/75*100&gt;=35,1.6,TRUE, 0)),(_xlfn.IFS(AV14/50*100&gt;=90,4,AV14/50*100&gt;=80,3.6,AV14/50*100&gt;=70,3.2,AV14/50*100&gt;=60,2.8,AV14/50*100&gt;=50,2.4,AV14/50*100&gt;=40,2,AV14/50*100&gt;=35,1.6,TRUE, 0)))</f>
        <v>2</v>
      </c>
      <c r="AX14" s="7" t="str" cm="1">
        <f t="array" ref="AX14">_xlfn.IFS(AW14="-","-",AW14=4,"A+",AW14=3.6,"A",AW14=3.2,"B+",AW14=2.8,"B",AW14=2.4,"C+",AW14=2,"C",AW14=1.6,"D",TRUE,"NG")</f>
        <v>C</v>
      </c>
      <c r="AY14" s="7" cm="1">
        <f t="array" ref="AY14">IF(E14="BS",(_xlfn.IFS(AV14&gt;=70,25,AV14&gt;=60,24,AV14&gt;=50,23,AV14&gt;=40,22,AV14&gt;=30,21,TRUE,20)),(_xlfn.IFS(AV14&gt;=45,48,AV14&gt;=40,46,AV14&gt;=35,44,AV14&gt;=30,40,AV14&gt;=25,38,TRUE,20)))</f>
        <v>21</v>
      </c>
      <c r="AZ14" s="7" cm="1">
        <f t="array" ref="AZ14">IF(E14="BS",(_xlfn.IFS(AY14/25*100&gt;=90,4,AY14/25*100&gt;=80,3.6,AY14/25*100&gt;=70,3.2,AY14/25*100&gt;=60,2.8,AY14/25*100&gt;=50,2.4,AY14/25*100&gt;=40,2,AY14/25*100&gt;=35,1.6,TRUE, 0)),(_xlfn.IFS(AY14/50*100&gt;=90,4,AY14/50*100&gt;=80,3.6,AY14/50*100&gt;=70,3.2,AY14/50*100&gt;=60,2.8,AY14/50*100&gt;=50,2.4,AY14/50*100&gt;=40,2,AY14/50*100&gt;=35,1.6,TRUE, 0)))</f>
        <v>3.6</v>
      </c>
      <c r="BA14" s="7" t="str" cm="1">
        <f t="array" ref="BA14">_xlfn.IFS(AZ14="-","-",AZ14=4,"A+",AZ14=3.6,"A",AZ14=3.2,"B+",AZ14=2.8,"B",AZ14=2.4,"C+",AZ14=2,"C",AZ14=1.6,"D",TRUE,"NG")</f>
        <v>A</v>
      </c>
      <c r="BB14" s="7">
        <f>IF(E14="BS",(AW14*3.75+AZ14*1.25)/5,(AW14*2.5+AZ14*2.5)/5)</f>
        <v>2.4</v>
      </c>
      <c r="BC14" s="7" t="str" cm="1">
        <f t="array" ref="BC14">_xlfn.IFS(BB14="-","-",AND(BB14&lt;=4,BB14&gt;3.6),"A+",AND(BB14&lt;=3.6,BB14&gt;3.2),"A",AND(BB14&lt;=3.2,BB14&gt;2.8),"B+",AND(BB14&lt;=2.8,BB14&gt;2.4),"B",AND(BB14&lt;=2.4,BB14&gt;2),"C+",AND(BB14&lt;=2,BB14&gt;1.6),"C",BB14=1.6,"D",TRUE,"NG")</f>
        <v>C+</v>
      </c>
      <c r="BD14" s="12">
        <f>IF(E14="BS",(((I14*3+L14*1)+(Q14*2.25+T14*0.75)+(Y14*3.75+AB14*1.25)+(AG14*3.75+AJ14*1.25)+(AO14*3.75+AR14*1.25)+(AW14*3.75+AZ14*1.25))/(4+3+5*4)),(((I14*3+L14*1)+(Q14*2.25+T14*0.75)+(Y14*3.75+AB14*1.25)+(AG14*3.75+AJ14*1.25)+(AO14*3.75+AR14*1.25)+(AW14*2.5+AZ14*2.5))/(4+3+5*4)))</f>
        <v>2.744444444444444</v>
      </c>
    </row>
    <row r="15" spans="1:56" x14ac:dyDescent="0.3">
      <c r="A15" s="2">
        <v>14</v>
      </c>
      <c r="B15" s="16">
        <v>793270280065</v>
      </c>
      <c r="C15" s="17">
        <v>12706916</v>
      </c>
      <c r="D15" s="3" t="s">
        <v>277</v>
      </c>
      <c r="E15" s="7" t="s">
        <v>56</v>
      </c>
      <c r="F15" s="20" t="s">
        <v>350</v>
      </c>
      <c r="G15" s="3" t="s">
        <v>315</v>
      </c>
      <c r="H15" s="7">
        <v>57</v>
      </c>
      <c r="I15" s="7" cm="1">
        <f t="array" ref="I15">_xlfn.IFS(H15/75*100&gt;=90,4,H15/75*100&gt;=80,3.6,H15/75*100&gt;=70,3.2,H15/75*100&gt;=60,2.8,H15/75*100&gt;=50,2.4,H15/75*100&gt;=40,2,H15/75*100&gt;=35,1.6,TRUE, 0)</f>
        <v>3.2</v>
      </c>
      <c r="J15" s="7" t="str" cm="1">
        <f t="array" ref="J15">_xlfn.IFS(I15=4,"A+",I15=3.6,"A",I15=3.2,"B+",I15=2.8,"B",I15=2.4,"C+",I15=2,"C",I15=1.6,"D",TRUE,"NG")</f>
        <v>B+</v>
      </c>
      <c r="K15" s="7" cm="1">
        <f t="array" ref="K15">_xlfn.IFS(H15&gt;=70,25,H15&gt;=60,24,H15&gt;=50,23,H15&gt;=40,22,H15&gt;=30,21,TRUE,20)</f>
        <v>23</v>
      </c>
      <c r="L15" s="7" cm="1">
        <f t="array" ref="L15">_xlfn.IFS(K15/25*100&gt;=90,4,K15/25*100&gt;=80,3.6,K15/25*100&gt;=70,3.2,K15/25*100&gt;=60,2.8,K15/25*100&gt;=50,2.4,K15/25*100&gt;=40,2,K15/25*100&gt;=35,1.6,TRUE, 0)</f>
        <v>4</v>
      </c>
      <c r="M15" s="7" t="str" cm="1">
        <f t="array" ref="M15">_xlfn.IFS(L15=4,"A+",L15=3.6,"A",L15=3.2,"B+",L15=2.8,"B",L15=2.4,"C+",L15=2,"C",L15=1.6,"D",TRUE,"NG")</f>
        <v>A+</v>
      </c>
      <c r="N15" s="7">
        <f t="shared" si="0"/>
        <v>3.4000000000000004</v>
      </c>
      <c r="O15" s="7" t="str" cm="1">
        <f t="array" ref="O15">_xlfn.IFS(AND(N15&lt;=4,N15&gt;3.6),"A+",AND(N15&lt;=3.6,N15&gt;3.2),"A",AND(N15&lt;=3.2,N15&gt;2.8),"B+",AND(N15&lt;=2.8,N15&gt;2.4),"B",AND(N15&lt;=2.4,N15&gt;2),"C+",AND(N15&lt;=2,N15&gt;1.6),"C",N15=1.6,"D",TRUE,"NG")</f>
        <v>A</v>
      </c>
      <c r="P15" s="7">
        <v>38</v>
      </c>
      <c r="Q15" s="7" cm="1">
        <f t="array" ref="Q15">_xlfn.IFS(P15/75*100&gt;=90,4,P15/75*100&gt;=80,3.6,P15/75*100&gt;=70,3.2,P15/75*100&gt;=60,2.8,P15/75*100&gt;=50,2.4,P15/75*100&gt;=40,2,P15/75*100&gt;=35,1.6,TRUE, 0)</f>
        <v>2.4</v>
      </c>
      <c r="R15" s="7" t="str" cm="1">
        <f t="array" ref="R15">_xlfn.IFS(Q15=4,"A+",Q15=3.6,"A",Q15=3.2,"B+",Q15=2.8,"B",Q15=2.4,"C+",Q15=2,"C",Q15=1.6,"D",TRUE,"NG")</f>
        <v>C+</v>
      </c>
      <c r="S15" s="7" cm="1">
        <f t="array" ref="S15">_xlfn.IFS(P15&gt;=70,25,P15&gt;=60,24,P15&gt;=50,23,P15&gt;=40,22,P15&gt;=30,21,TRUE,20)</f>
        <v>21</v>
      </c>
      <c r="T15" s="7" cm="1">
        <f t="array" ref="T15">_xlfn.IFS(S15/25*100&gt;=90,4,S15/25*100&gt;=80,3.6,S15/25*100&gt;=70,3.2,S15/25*100&gt;=60,2.8,S15/25*100&gt;=50,2.4,S15/25*100&gt;=40,2,S15/25*100&gt;=35,1.6,TRUE, 0)</f>
        <v>3.6</v>
      </c>
      <c r="U15" s="7" t="str" cm="1">
        <f t="array" ref="U15">_xlfn.IFS(T15=4,"A+",T15=3.6,"A",T15=3.2,"B+",T15=2.8,"B",T15=2.4,"C+",T15=2,"C",T15=1.6,"D",TRUE,"NG")</f>
        <v>A</v>
      </c>
      <c r="V15" s="7">
        <f t="shared" si="1"/>
        <v>2.6999999999999997</v>
      </c>
      <c r="W15" s="7" t="str" cm="1">
        <f t="array" ref="W15">_xlfn.IFS(AND(V15&lt;=4,V15&gt;3.6),"A+",AND(V15&lt;=3.6,V15&gt;3.2),"A",AND(V15&lt;=3.2,V15&gt;2.8),"B+",AND(V15&lt;=2.8,V15&gt;2.4),"B",AND(V15&lt;=2.4,V15&gt;2),"C+",AND(V15&lt;=2,V15&gt;1.6),"C",V15=1.6,"D",TRUE,"NG")</f>
        <v>B</v>
      </c>
      <c r="X15" s="7">
        <v>38</v>
      </c>
      <c r="Y15" s="7" cm="1">
        <f t="array" ref="Y15">_xlfn.IFS(X15/75*100&gt;=90,4,X15/75*100&gt;=80,3.6,X15/75*100&gt;=70,3.2,X15/75*100&gt;=60,2.8,X15/75*100&gt;=50,2.4,X15/75*100&gt;=40,2,X15/75*100&gt;=35,1.6,TRUE, 0)</f>
        <v>2.4</v>
      </c>
      <c r="Z15" s="7" t="str" cm="1">
        <f t="array" ref="Z15">_xlfn.IFS(Y15=4,"A+",Y15=3.6,"A",Y15=3.2,"B+",Y15=2.8,"B",Y15=2.4,"C+",Y15=2,"C",Y15=1.6,"D",TRUE,"NG")</f>
        <v>C+</v>
      </c>
      <c r="AA15" s="7" cm="1">
        <f t="array" ref="AA15">_xlfn.IFS(X15&gt;=70,25,X15&gt;=60,24,X15&gt;=50,23,X15&gt;=40,22,X15&gt;=30,21,TRUE,20)</f>
        <v>21</v>
      </c>
      <c r="AB15" s="7" cm="1">
        <f t="array" ref="AB15">_xlfn.IFS(AA15/25*100&gt;=90,4,AA15/25*100&gt;=80,3.6,AA15/25*100&gt;=70,3.2,AA15/25*100&gt;=60,2.8,AA15/25*100&gt;=50,2.4,AA15/25*100&gt;=40,2,AA15/25*100&gt;=35,1.6,TRUE, 0)</f>
        <v>3.6</v>
      </c>
      <c r="AC15" s="7" t="str" cm="1">
        <f t="array" ref="AC15">_xlfn.IFS(AB15=4,"A+",AB15=3.6,"A",AB15=3.2,"B+",AB15=2.8,"B",AB15=2.4,"C+",AB15=2,"C",AB15=1.6,"D",TRUE,"NG")</f>
        <v>A</v>
      </c>
      <c r="AD15" s="7">
        <f t="shared" si="2"/>
        <v>2.7</v>
      </c>
      <c r="AE15" s="7" t="str" cm="1">
        <f t="array" ref="AE15">_xlfn.IFS(AND(AD15&lt;=4,AD15&gt;3.6),"A+",AND(AD15&lt;=3.6,AD15&gt;3.2),"A",AND(AD15&lt;=3.2,AD15&gt;2.8),"B+",AND(AD15&lt;=2.8,AD15&gt;2.4),"B",AND(AD15&lt;=2.4,AD15&gt;2),"C+",AND(AD15&lt;=2,AD15&gt;1.6),"C",AD15=1.6,"D",TRUE,"NG")</f>
        <v>B</v>
      </c>
      <c r="AF15" s="7">
        <v>60</v>
      </c>
      <c r="AG15" s="7" cm="1">
        <f t="array" ref="AG15">_xlfn.IFS(AF15/75*100&gt;=90,4,AF15/75*100&gt;=80,3.6,AF15/75*100&gt;=70,3.2,AF15/75*100&gt;=60,2.8,AF15/75*100&gt;=50,2.4,AF15/75*100&gt;=40,2,AF15/75*100&gt;=35,1.6,TRUE, 0)</f>
        <v>3.6</v>
      </c>
      <c r="AH15" s="7" t="str" cm="1">
        <f t="array" ref="AH15">_xlfn.IFS(AG15=4,"A+",AG15=3.6,"A",AG15=3.2,"B+",AG15=2.8,"B",AG15=2.4,"C+",AG15=2,"C",AG15=1.6,"D",TRUE,"NG")</f>
        <v>A</v>
      </c>
      <c r="AI15" s="7" cm="1">
        <f t="array" ref="AI15">_xlfn.IFS(AF15&gt;=70,25,AF15&gt;=60,24,AF15&gt;=50,23,AF15&gt;=40,22,AF15&gt;=30,21,TRUE,20)</f>
        <v>24</v>
      </c>
      <c r="AJ15" s="7" cm="1">
        <f t="array" ref="AJ15">_xlfn.IFS(AI15/25*100&gt;=90,4,AI15/25*100&gt;=80,3.6,AI15/25*100&gt;=70,3.2,AI15/25*100&gt;=60,2.8,AI15/25*100&gt;=50,2.4,AI15/25*100&gt;=40,2,AI15/25*100&gt;=35,1.6,TRUE, 0)</f>
        <v>4</v>
      </c>
      <c r="AK15" s="7" t="str" cm="1">
        <f t="array" ref="AK15">_xlfn.IFS(AJ15=4,"A+",AJ15=3.6,"A",AJ15=3.2,"B+",AJ15=2.8,"B",AJ15=2.4,"C+",AJ15=2,"C",AJ15=1.6,"D",TRUE,"NG")</f>
        <v>A+</v>
      </c>
      <c r="AL15" s="7">
        <f t="shared" si="3"/>
        <v>3.7</v>
      </c>
      <c r="AM15" s="7" t="str" cm="1">
        <f t="array" ref="AM15">_xlfn.IFS(AND(AL15&lt;=4,AL15&gt;3.6),"A+",AND(AL15&lt;=3.6,AL15&gt;3.2),"A",AND(AL15&lt;=3.2,AL15&gt;2.8),"B+",AND(AL15&lt;=2.8,AL15&gt;2.4),"B",AND(AL15&lt;=2.4,AL15&gt;2),"C+",AND(AL15&lt;=2,AL15&gt;1.6),"C",AL15=1.6,"D",TRUE,"NG")</f>
        <v>A+</v>
      </c>
      <c r="AN15" s="7">
        <v>46</v>
      </c>
      <c r="AO15" s="7" cm="1">
        <f t="array" ref="AO15">_xlfn.IFS(AN15/75*100&gt;=90,4,AN15/75*100&gt;=80,3.6,AN15/75*100&gt;=70,3.2,AN15/75*100&gt;=60,2.8,AN15/75*100&gt;=50,2.4,AN15/75*100&gt;=40,2,AN15/75*100&gt;=35,1.6,TRUE, 0)</f>
        <v>2.8</v>
      </c>
      <c r="AP15" s="7" t="str" cm="1">
        <f t="array" ref="AP15">_xlfn.IFS(AO15=4,"A+",AO15=3.6,"A",AO15=3.2,"B+",AO15=2.8,"B",AO15=2.4,"C+",AO15=2,"C",AO15=1.6,"D",TRUE,"NG")</f>
        <v>B</v>
      </c>
      <c r="AQ15" s="7" cm="1">
        <f t="array" ref="AQ15">_xlfn.IFS(AN15&gt;=70,25,AN15&gt;=60,24,AN15&gt;=50,23,AN15&gt;=40,22,AN15&gt;=30,21,TRUE,20)</f>
        <v>22</v>
      </c>
      <c r="AR15" s="7" cm="1">
        <f t="array" ref="AR15">_xlfn.IFS(AQ15/25*100&gt;=90,4,AQ15/25*100&gt;=80,3.6,AQ15/25*100&gt;=70,3.2,AQ15/25*100&gt;=60,2.8,AQ15/25*100&gt;=50,2.4,AQ15/25*100&gt;=40,2,AQ15/25*100&gt;=35,1.6,TRUE, 0)</f>
        <v>3.6</v>
      </c>
      <c r="AS15" s="7" t="str" cm="1">
        <f t="array" ref="AS15">_xlfn.IFS(AR15=4,"A+",AR15=3.6,"A",AR15=3.2,"B+",AR15=2.8,"B",AR15=2.4,"C+",AR15=2,"C",AR15=1.6,"D",TRUE,"NG")</f>
        <v>A</v>
      </c>
      <c r="AT15" s="7">
        <f t="shared" si="4"/>
        <v>3</v>
      </c>
      <c r="AU15" s="7" t="str" cm="1">
        <f t="array" ref="AU15">_xlfn.IFS(AND(AT15&lt;=4,AT15&gt;3.6),"A+",AND(AT15&lt;=3.6,AT15&gt;3.2),"A",AND(AT15&lt;=3.2,AT15&gt;2.8),"B+",AND(AT15&lt;=2.8,AT15&gt;2.4),"B",AND(AT15&lt;=2.4,AT15&gt;2),"C+",AND(AT15&lt;=2,AT15&gt;1.6),"C",AT15=1.6,"D",TRUE,"NG")</f>
        <v>B+</v>
      </c>
      <c r="AV15" s="7">
        <v>42</v>
      </c>
      <c r="AW15" s="7" cm="1">
        <f t="array" ref="AW15">IF(E15="BS",(_xlfn.IFS(AV15/75*100&gt;=90,4,AV15/75*100&gt;=80,3.6,AV15/75*100&gt;=70,3.2,AV15/75*100&gt;=60,2.8,AV15/75*100&gt;=50,2.4,AV15/75*100&gt;=40,2,AV15/75*100&gt;=35,1.6,TRUE, 0)),(_xlfn.IFS(AV15/50*100&gt;=90,4,AV15/50*100&gt;=80,3.6,AV15/50*100&gt;=70,3.2,AV15/50*100&gt;=60,2.8,AV15/50*100&gt;=50,2.4,AV15/50*100&gt;=40,2,AV15/50*100&gt;=35,1.6,TRUE, 0)))</f>
        <v>2.4</v>
      </c>
      <c r="AX15" s="7" t="str" cm="1">
        <f t="array" ref="AX15">_xlfn.IFS(AW15="-","-",AW15=4,"A+",AW15=3.6,"A",AW15=3.2,"B+",AW15=2.8,"B",AW15=2.4,"C+",AW15=2,"C",AW15=1.6,"D",TRUE,"NG")</f>
        <v>C+</v>
      </c>
      <c r="AY15" s="7" cm="1">
        <f t="array" ref="AY15">IF(E15="BS",(_xlfn.IFS(AV15&gt;=70,25,AV15&gt;=60,24,AV15&gt;=50,23,AV15&gt;=40,22,AV15&gt;=30,21,TRUE,20)),(_xlfn.IFS(AV15&gt;=45,48,AV15&gt;=40,46,AV15&gt;=35,44,AV15&gt;=30,40,AV15&gt;=25,38,TRUE,20)))</f>
        <v>22</v>
      </c>
      <c r="AZ15" s="7" cm="1">
        <f t="array" ref="AZ15">IF(E15="BS",(_xlfn.IFS(AY15/25*100&gt;=90,4,AY15/25*100&gt;=80,3.6,AY15/25*100&gt;=70,3.2,AY15/25*100&gt;=60,2.8,AY15/25*100&gt;=50,2.4,AY15/25*100&gt;=40,2,AY15/25*100&gt;=35,1.6,TRUE, 0)),(_xlfn.IFS(AY15/50*100&gt;=90,4,AY15/50*100&gt;=80,3.6,AY15/50*100&gt;=70,3.2,AY15/50*100&gt;=60,2.8,AY15/50*100&gt;=50,2.4,AY15/50*100&gt;=40,2,AY15/50*100&gt;=35,1.6,TRUE, 0)))</f>
        <v>3.6</v>
      </c>
      <c r="BA15" s="7" t="str" cm="1">
        <f t="array" ref="BA15">_xlfn.IFS(AZ15="-","-",AZ15=4,"A+",AZ15=3.6,"A",AZ15=3.2,"B+",AZ15=2.8,"B",AZ15=2.4,"C+",AZ15=2,"C",AZ15=1.6,"D",TRUE,"NG")</f>
        <v>A</v>
      </c>
      <c r="BB15" s="7">
        <f>IF(E15="BS",(AW15*3.75+AZ15*1.25)/5,(AW15*2.5+AZ15*2.5)/5)</f>
        <v>2.7</v>
      </c>
      <c r="BC15" s="7" t="str" cm="1">
        <f t="array" ref="BC15">_xlfn.IFS(BB15="-","-",AND(BB15&lt;=4,BB15&gt;3.6),"A+",AND(BB15&lt;=3.6,BB15&gt;3.2),"A",AND(BB15&lt;=3.2,BB15&gt;2.8),"B+",AND(BB15&lt;=2.8,BB15&gt;2.4),"B",AND(BB15&lt;=2.4,BB15&gt;2),"C+",AND(BB15&lt;=2,BB15&gt;1.6),"C",BB15=1.6,"D",TRUE,"NG")</f>
        <v>B</v>
      </c>
      <c r="BD15" s="12">
        <f>IF(E15="BS",(((I15*3+L15*1)+(Q15*2.25+T15*0.75)+(Y15*3.75+AB15*1.25)+(AG15*3.75+AJ15*1.25)+(AO15*3.75+AR15*1.25)+(AW15*3.75+AZ15*1.25))/(4+3+5*4)),(((I15*3+L15*1)+(Q15*2.25+T15*0.75)+(Y15*3.75+AB15*1.25)+(AG15*3.75+AJ15*1.25)+(AO15*3.75+AR15*1.25)+(AW15*2.5+AZ15*2.5))/(4+3+5*4)))</f>
        <v>3.0444444444444447</v>
      </c>
    </row>
    <row r="16" spans="1:56" x14ac:dyDescent="0.3">
      <c r="A16" s="2">
        <v>15</v>
      </c>
      <c r="B16" s="16">
        <v>793270280070</v>
      </c>
      <c r="C16" s="17">
        <v>12706921</v>
      </c>
      <c r="D16" s="3" t="s">
        <v>278</v>
      </c>
      <c r="E16" s="7" t="s">
        <v>56</v>
      </c>
      <c r="F16" s="20" t="s">
        <v>351</v>
      </c>
      <c r="G16" s="3" t="s">
        <v>316</v>
      </c>
      <c r="H16" s="7">
        <v>65</v>
      </c>
      <c r="I16" s="7" cm="1">
        <f t="array" ref="I16">_xlfn.IFS(H16/75*100&gt;=90,4,H16/75*100&gt;=80,3.6,H16/75*100&gt;=70,3.2,H16/75*100&gt;=60,2.8,H16/75*100&gt;=50,2.4,H16/75*100&gt;=40,2,H16/75*100&gt;=35,1.6,TRUE, 0)</f>
        <v>3.6</v>
      </c>
      <c r="J16" s="7" t="str" cm="1">
        <f t="array" ref="J16">_xlfn.IFS(I16=4,"A+",I16=3.6,"A",I16=3.2,"B+",I16=2.8,"B",I16=2.4,"C+",I16=2,"C",I16=1.6,"D",TRUE,"NG")</f>
        <v>A</v>
      </c>
      <c r="K16" s="7" cm="1">
        <f t="array" ref="K16">_xlfn.IFS(H16&gt;=70,25,H16&gt;=60,24,H16&gt;=50,23,H16&gt;=40,22,H16&gt;=30,21,TRUE,20)</f>
        <v>24</v>
      </c>
      <c r="L16" s="7" cm="1">
        <f t="array" ref="L16">_xlfn.IFS(K16/25*100&gt;=90,4,K16/25*100&gt;=80,3.6,K16/25*100&gt;=70,3.2,K16/25*100&gt;=60,2.8,K16/25*100&gt;=50,2.4,K16/25*100&gt;=40,2,K16/25*100&gt;=35,1.6,TRUE, 0)</f>
        <v>4</v>
      </c>
      <c r="M16" s="7" t="str" cm="1">
        <f t="array" ref="M16">_xlfn.IFS(L16=4,"A+",L16=3.6,"A",L16=3.2,"B+",L16=2.8,"B",L16=2.4,"C+",L16=2,"C",L16=1.6,"D",TRUE,"NG")</f>
        <v>A+</v>
      </c>
      <c r="N16" s="7">
        <f t="shared" si="0"/>
        <v>3.7</v>
      </c>
      <c r="O16" s="7" t="str" cm="1">
        <f t="array" ref="O16">_xlfn.IFS(AND(N16&lt;=4,N16&gt;3.6),"A+",AND(N16&lt;=3.6,N16&gt;3.2),"A",AND(N16&lt;=3.2,N16&gt;2.8),"B+",AND(N16&lt;=2.8,N16&gt;2.4),"B",AND(N16&lt;=2.4,N16&gt;2),"C+",AND(N16&lt;=2,N16&gt;1.6),"C",N16=1.6,"D",TRUE,"NG")</f>
        <v>A+</v>
      </c>
      <c r="P16" s="7">
        <v>57</v>
      </c>
      <c r="Q16" s="7" cm="1">
        <f t="array" ref="Q16">_xlfn.IFS(P16/75*100&gt;=90,4,P16/75*100&gt;=80,3.6,P16/75*100&gt;=70,3.2,P16/75*100&gt;=60,2.8,P16/75*100&gt;=50,2.4,P16/75*100&gt;=40,2,P16/75*100&gt;=35,1.6,TRUE, 0)</f>
        <v>3.2</v>
      </c>
      <c r="R16" s="7" t="str" cm="1">
        <f t="array" ref="R16">_xlfn.IFS(Q16=4,"A+",Q16=3.6,"A",Q16=3.2,"B+",Q16=2.8,"B",Q16=2.4,"C+",Q16=2,"C",Q16=1.6,"D",TRUE,"NG")</f>
        <v>B+</v>
      </c>
      <c r="S16" s="7" cm="1">
        <f t="array" ref="S16">_xlfn.IFS(P16&gt;=70,25,P16&gt;=60,24,P16&gt;=50,23,P16&gt;=40,22,P16&gt;=30,21,TRUE,20)</f>
        <v>23</v>
      </c>
      <c r="T16" s="7" cm="1">
        <f t="array" ref="T16">_xlfn.IFS(S16/25*100&gt;=90,4,S16/25*100&gt;=80,3.6,S16/25*100&gt;=70,3.2,S16/25*100&gt;=60,2.8,S16/25*100&gt;=50,2.4,S16/25*100&gt;=40,2,S16/25*100&gt;=35,1.6,TRUE, 0)</f>
        <v>4</v>
      </c>
      <c r="U16" s="7" t="str" cm="1">
        <f t="array" ref="U16">_xlfn.IFS(T16=4,"A+",T16=3.6,"A",T16=3.2,"B+",T16=2.8,"B",T16=2.4,"C+",T16=2,"C",T16=1.6,"D",TRUE,"NG")</f>
        <v>A+</v>
      </c>
      <c r="V16" s="7">
        <f t="shared" si="1"/>
        <v>3.4</v>
      </c>
      <c r="W16" s="7" t="str" cm="1">
        <f t="array" ref="W16">_xlfn.IFS(AND(V16&lt;=4,V16&gt;3.6),"A+",AND(V16&lt;=3.6,V16&gt;3.2),"A",AND(V16&lt;=3.2,V16&gt;2.8),"B+",AND(V16&lt;=2.8,V16&gt;2.4),"B",AND(V16&lt;=2.4,V16&gt;2),"C+",AND(V16&lt;=2,V16&gt;1.6),"C",V16=1.6,"D",TRUE,"NG")</f>
        <v>A</v>
      </c>
      <c r="X16" s="7">
        <v>41</v>
      </c>
      <c r="Y16" s="7" cm="1">
        <f t="array" ref="Y16">_xlfn.IFS(X16/75*100&gt;=90,4,X16/75*100&gt;=80,3.6,X16/75*100&gt;=70,3.2,X16/75*100&gt;=60,2.8,X16/75*100&gt;=50,2.4,X16/75*100&gt;=40,2,X16/75*100&gt;=35,1.6,TRUE, 0)</f>
        <v>2.4</v>
      </c>
      <c r="Z16" s="7" t="str" cm="1">
        <f t="array" ref="Z16">_xlfn.IFS(Y16=4,"A+",Y16=3.6,"A",Y16=3.2,"B+",Y16=2.8,"B",Y16=2.4,"C+",Y16=2,"C",Y16=1.6,"D",TRUE,"NG")</f>
        <v>C+</v>
      </c>
      <c r="AA16" s="7" cm="1">
        <f t="array" ref="AA16">_xlfn.IFS(X16&gt;=70,25,X16&gt;=60,24,X16&gt;=50,23,X16&gt;=40,22,X16&gt;=30,21,TRUE,20)</f>
        <v>22</v>
      </c>
      <c r="AB16" s="7" cm="1">
        <f t="array" ref="AB16">_xlfn.IFS(AA16/25*100&gt;=90,4,AA16/25*100&gt;=80,3.6,AA16/25*100&gt;=70,3.2,AA16/25*100&gt;=60,2.8,AA16/25*100&gt;=50,2.4,AA16/25*100&gt;=40,2,AA16/25*100&gt;=35,1.6,TRUE, 0)</f>
        <v>3.6</v>
      </c>
      <c r="AC16" s="7" t="str" cm="1">
        <f t="array" ref="AC16">_xlfn.IFS(AB16=4,"A+",AB16=3.6,"A",AB16=3.2,"B+",AB16=2.8,"B",AB16=2.4,"C+",AB16=2,"C",AB16=1.6,"D",TRUE,"NG")</f>
        <v>A</v>
      </c>
      <c r="AD16" s="7">
        <f t="shared" si="2"/>
        <v>2.7</v>
      </c>
      <c r="AE16" s="7" t="str" cm="1">
        <f t="array" ref="AE16">_xlfn.IFS(AND(AD16&lt;=4,AD16&gt;3.6),"A+",AND(AD16&lt;=3.6,AD16&gt;3.2),"A",AND(AD16&lt;=3.2,AD16&gt;2.8),"B+",AND(AD16&lt;=2.8,AD16&gt;2.4),"B",AND(AD16&lt;=2.4,AD16&gt;2),"C+",AND(AD16&lt;=2,AD16&gt;1.6),"C",AD16=1.6,"D",TRUE,"NG")</f>
        <v>B</v>
      </c>
      <c r="AF16" s="7">
        <v>57</v>
      </c>
      <c r="AG16" s="7" cm="1">
        <f t="array" ref="AG16">_xlfn.IFS(AF16/75*100&gt;=90,4,AF16/75*100&gt;=80,3.6,AF16/75*100&gt;=70,3.2,AF16/75*100&gt;=60,2.8,AF16/75*100&gt;=50,2.4,AF16/75*100&gt;=40,2,AF16/75*100&gt;=35,1.6,TRUE, 0)</f>
        <v>3.2</v>
      </c>
      <c r="AH16" s="7" t="str" cm="1">
        <f t="array" ref="AH16">_xlfn.IFS(AG16=4,"A+",AG16=3.6,"A",AG16=3.2,"B+",AG16=2.8,"B",AG16=2.4,"C+",AG16=2,"C",AG16=1.6,"D",TRUE,"NG")</f>
        <v>B+</v>
      </c>
      <c r="AI16" s="7" cm="1">
        <f t="array" ref="AI16">_xlfn.IFS(AF16&gt;=70,25,AF16&gt;=60,24,AF16&gt;=50,23,AF16&gt;=40,22,AF16&gt;=30,21,TRUE,20)</f>
        <v>23</v>
      </c>
      <c r="AJ16" s="7" cm="1">
        <f t="array" ref="AJ16">_xlfn.IFS(AI16/25*100&gt;=90,4,AI16/25*100&gt;=80,3.6,AI16/25*100&gt;=70,3.2,AI16/25*100&gt;=60,2.8,AI16/25*100&gt;=50,2.4,AI16/25*100&gt;=40,2,AI16/25*100&gt;=35,1.6,TRUE, 0)</f>
        <v>4</v>
      </c>
      <c r="AK16" s="7" t="str" cm="1">
        <f t="array" ref="AK16">_xlfn.IFS(AJ16=4,"A+",AJ16=3.6,"A",AJ16=3.2,"B+",AJ16=2.8,"B",AJ16=2.4,"C+",AJ16=2,"C",AJ16=1.6,"D",TRUE,"NG")</f>
        <v>A+</v>
      </c>
      <c r="AL16" s="7">
        <f t="shared" si="3"/>
        <v>3.4</v>
      </c>
      <c r="AM16" s="7" t="str" cm="1">
        <f t="array" ref="AM16">_xlfn.IFS(AND(AL16&lt;=4,AL16&gt;3.6),"A+",AND(AL16&lt;=3.6,AL16&gt;3.2),"A",AND(AL16&lt;=3.2,AL16&gt;2.8),"B+",AND(AL16&lt;=2.8,AL16&gt;2.4),"B",AND(AL16&lt;=2.4,AL16&gt;2),"C+",AND(AL16&lt;=2,AL16&gt;1.6),"C",AL16=1.6,"D",TRUE,"NG")</f>
        <v>A</v>
      </c>
      <c r="AN16" s="7">
        <v>68</v>
      </c>
      <c r="AO16" s="7" cm="1">
        <f t="array" ref="AO16">_xlfn.IFS(AN16/75*100&gt;=90,4,AN16/75*100&gt;=80,3.6,AN16/75*100&gt;=70,3.2,AN16/75*100&gt;=60,2.8,AN16/75*100&gt;=50,2.4,AN16/75*100&gt;=40,2,AN16/75*100&gt;=35,1.6,TRUE, 0)</f>
        <v>4</v>
      </c>
      <c r="AP16" s="7" t="str" cm="1">
        <f t="array" ref="AP16">_xlfn.IFS(AO16=4,"A+",AO16=3.6,"A",AO16=3.2,"B+",AO16=2.8,"B",AO16=2.4,"C+",AO16=2,"C",AO16=1.6,"D",TRUE,"NG")</f>
        <v>A+</v>
      </c>
      <c r="AQ16" s="7" cm="1">
        <f t="array" ref="AQ16">_xlfn.IFS(AN16&gt;=70,25,AN16&gt;=60,24,AN16&gt;=50,23,AN16&gt;=40,22,AN16&gt;=30,21,TRUE,20)</f>
        <v>24</v>
      </c>
      <c r="AR16" s="7" cm="1">
        <f t="array" ref="AR16">_xlfn.IFS(AQ16/25*100&gt;=90,4,AQ16/25*100&gt;=80,3.6,AQ16/25*100&gt;=70,3.2,AQ16/25*100&gt;=60,2.8,AQ16/25*100&gt;=50,2.4,AQ16/25*100&gt;=40,2,AQ16/25*100&gt;=35,1.6,TRUE, 0)</f>
        <v>4</v>
      </c>
      <c r="AS16" s="7" t="str" cm="1">
        <f t="array" ref="AS16">_xlfn.IFS(AR16=4,"A+",AR16=3.6,"A",AR16=3.2,"B+",AR16=2.8,"B",AR16=2.4,"C+",AR16=2,"C",AR16=1.6,"D",TRUE,"NG")</f>
        <v>A+</v>
      </c>
      <c r="AT16" s="7">
        <f t="shared" si="4"/>
        <v>4</v>
      </c>
      <c r="AU16" s="7" t="str" cm="1">
        <f t="array" ref="AU16">_xlfn.IFS(AND(AT16&lt;=4,AT16&gt;3.6),"A+",AND(AT16&lt;=3.6,AT16&gt;3.2),"A",AND(AT16&lt;=3.2,AT16&gt;2.8),"B+",AND(AT16&lt;=2.8,AT16&gt;2.4),"B",AND(AT16&lt;=2.4,AT16&gt;2),"C+",AND(AT16&lt;=2,AT16&gt;1.6),"C",AT16=1.6,"D",TRUE,"NG")</f>
        <v>A+</v>
      </c>
      <c r="AV16" s="7">
        <v>63</v>
      </c>
      <c r="AW16" s="7" cm="1">
        <f t="array" ref="AW16">IF(E16="BS",(_xlfn.IFS(AV16/75*100&gt;=90,4,AV16/75*100&gt;=80,3.6,AV16/75*100&gt;=70,3.2,AV16/75*100&gt;=60,2.8,AV16/75*100&gt;=50,2.4,AV16/75*100&gt;=40,2,AV16/75*100&gt;=35,1.6,TRUE, 0)),(_xlfn.IFS(AV16/50*100&gt;=90,4,AV16/50*100&gt;=80,3.6,AV16/50*100&gt;=70,3.2,AV16/50*100&gt;=60,2.8,AV16/50*100&gt;=50,2.4,AV16/50*100&gt;=40,2,AV16/50*100&gt;=35,1.6,TRUE, 0)))</f>
        <v>3.6</v>
      </c>
      <c r="AX16" s="7" t="str" cm="1">
        <f t="array" ref="AX16">_xlfn.IFS(AW16="-","-",AW16=4,"A+",AW16=3.6,"A",AW16=3.2,"B+",AW16=2.8,"B",AW16=2.4,"C+",AW16=2,"C",AW16=1.6,"D",TRUE,"NG")</f>
        <v>A</v>
      </c>
      <c r="AY16" s="7" cm="1">
        <f t="array" ref="AY16">IF(E16="BS",(_xlfn.IFS(AV16&gt;=70,25,AV16&gt;=60,24,AV16&gt;=50,23,AV16&gt;=40,22,AV16&gt;=30,21,TRUE,20)),(_xlfn.IFS(AV16&gt;=45,48,AV16&gt;=40,46,AV16&gt;=35,44,AV16&gt;=30,40,AV16&gt;=25,38,TRUE,20)))</f>
        <v>24</v>
      </c>
      <c r="AZ16" s="7" cm="1">
        <f t="array" ref="AZ16">IF(E16="BS",(_xlfn.IFS(AY16/25*100&gt;=90,4,AY16/25*100&gt;=80,3.6,AY16/25*100&gt;=70,3.2,AY16/25*100&gt;=60,2.8,AY16/25*100&gt;=50,2.4,AY16/25*100&gt;=40,2,AY16/25*100&gt;=35,1.6,TRUE, 0)),(_xlfn.IFS(AY16/50*100&gt;=90,4,AY16/50*100&gt;=80,3.6,AY16/50*100&gt;=70,3.2,AY16/50*100&gt;=60,2.8,AY16/50*100&gt;=50,2.4,AY16/50*100&gt;=40,2,AY16/50*100&gt;=35,1.6,TRUE, 0)))</f>
        <v>4</v>
      </c>
      <c r="BA16" s="7" t="str" cm="1">
        <f t="array" ref="BA16">_xlfn.IFS(AZ16="-","-",AZ16=4,"A+",AZ16=3.6,"A",AZ16=3.2,"B+",AZ16=2.8,"B",AZ16=2.4,"C+",AZ16=2,"C",AZ16=1.6,"D",TRUE,"NG")</f>
        <v>A+</v>
      </c>
      <c r="BB16" s="7">
        <f>IF(E16="BS",(AW16*3.75+AZ16*1.25)/5,(AW16*2.5+AZ16*2.5)/5)</f>
        <v>3.7</v>
      </c>
      <c r="BC16" s="7" t="str" cm="1">
        <f t="array" ref="BC16">_xlfn.IFS(BB16="-","-",AND(BB16&lt;=4,BB16&gt;3.6),"A+",AND(BB16&lt;=3.6,BB16&gt;3.2),"A",AND(BB16&lt;=3.2,BB16&gt;2.8),"B+",AND(BB16&lt;=2.8,BB16&gt;2.4),"B",AND(BB16&lt;=2.4,BB16&gt;2),"C+",AND(BB16&lt;=2,BB16&gt;1.6),"C",BB16=1.6,"D",TRUE,"NG")</f>
        <v>A+</v>
      </c>
      <c r="BD16" s="12">
        <f>IF(E16="BS",(((I16*3+L16*1)+(Q16*2.25+T16*0.75)+(Y16*3.75+AB16*1.25)+(AG16*3.75+AJ16*1.25)+(AO16*3.75+AR16*1.25)+(AW16*3.75+AZ16*1.25))/(4+3+5*4)),(((I16*3+L16*1)+(Q16*2.25+T16*0.75)+(Y16*3.75+AB16*1.25)+(AG16*3.75+AJ16*1.25)+(AO16*3.75+AR16*1.25)+(AW16*2.5+AZ16*2.5))/(4+3+5*4)))</f>
        <v>3.4814814814814814</v>
      </c>
    </row>
    <row r="17" spans="1:56" x14ac:dyDescent="0.3">
      <c r="A17" s="2">
        <v>20</v>
      </c>
      <c r="B17" s="16">
        <v>793270280033</v>
      </c>
      <c r="C17" s="17">
        <v>12706884</v>
      </c>
      <c r="D17" s="3" t="s">
        <v>279</v>
      </c>
      <c r="E17" s="7" t="s">
        <v>80</v>
      </c>
      <c r="F17" s="20" t="s">
        <v>352</v>
      </c>
      <c r="G17" s="3" t="s">
        <v>317</v>
      </c>
      <c r="H17" s="7">
        <v>47</v>
      </c>
      <c r="I17" s="7" cm="1">
        <f t="array" ref="I17">_xlfn.IFS(H17/75*100&gt;=90,4,H17/75*100&gt;=80,3.6,H17/75*100&gt;=70,3.2,H17/75*100&gt;=60,2.8,H17/75*100&gt;=50,2.4,H17/75*100&gt;=40,2,H17/75*100&gt;=35,1.6,TRUE, 0)</f>
        <v>2.8</v>
      </c>
      <c r="J17" s="7" t="str" cm="1">
        <f t="array" ref="J17">_xlfn.IFS(I17=4,"A+",I17=3.6,"A",I17=3.2,"B+",I17=2.8,"B",I17=2.4,"C+",I17=2,"C",I17=1.6,"D",TRUE,"NG")</f>
        <v>B</v>
      </c>
      <c r="K17" s="7" cm="1">
        <f t="array" ref="K17">_xlfn.IFS(H17&gt;=70,25,H17&gt;=60,24,H17&gt;=50,23,H17&gt;=40,22,H17&gt;=30,21,TRUE,20)</f>
        <v>22</v>
      </c>
      <c r="L17" s="7" cm="1">
        <f t="array" ref="L17">_xlfn.IFS(K17/25*100&gt;=90,4,K17/25*100&gt;=80,3.6,K17/25*100&gt;=70,3.2,K17/25*100&gt;=60,2.8,K17/25*100&gt;=50,2.4,K17/25*100&gt;=40,2,K17/25*100&gt;=35,1.6,TRUE, 0)</f>
        <v>3.6</v>
      </c>
      <c r="M17" s="7" t="str" cm="1">
        <f t="array" ref="M17">_xlfn.IFS(L17=4,"A+",L17=3.6,"A",L17=3.2,"B+",L17=2.8,"B",L17=2.4,"C+",L17=2,"C",L17=1.6,"D",TRUE,"NG")</f>
        <v>A</v>
      </c>
      <c r="N17" s="7">
        <f t="shared" si="0"/>
        <v>2.9999999999999996</v>
      </c>
      <c r="O17" s="7" t="str" cm="1">
        <f t="array" ref="O17">_xlfn.IFS(AND(N17&lt;=4,N17&gt;3.6),"A+",AND(N17&lt;=3.6,N17&gt;3.2),"A",AND(N17&lt;=3.2,N17&gt;2.8),"B+",AND(N17&lt;=2.8,N17&gt;2.4),"B",AND(N17&lt;=2.4,N17&gt;2),"C+",AND(N17&lt;=2,N17&gt;1.6),"C",N17=1.6,"D",TRUE,"NG")</f>
        <v>B+</v>
      </c>
      <c r="P17" s="7">
        <v>46</v>
      </c>
      <c r="Q17" s="7" cm="1">
        <f t="array" ref="Q17">_xlfn.IFS(P17/75*100&gt;=90,4,P17/75*100&gt;=80,3.6,P17/75*100&gt;=70,3.2,P17/75*100&gt;=60,2.8,P17/75*100&gt;=50,2.4,P17/75*100&gt;=40,2,P17/75*100&gt;=35,1.6,TRUE, 0)</f>
        <v>2.8</v>
      </c>
      <c r="R17" s="7" t="str" cm="1">
        <f t="array" ref="R17">_xlfn.IFS(Q17=4,"A+",Q17=3.6,"A",Q17=3.2,"B+",Q17=2.8,"B",Q17=2.4,"C+",Q17=2,"C",Q17=1.6,"D",TRUE,"NG")</f>
        <v>B</v>
      </c>
      <c r="S17" s="7" cm="1">
        <f t="array" ref="S17">_xlfn.IFS(P17&gt;=70,25,P17&gt;=60,24,P17&gt;=50,23,P17&gt;=40,22,P17&gt;=30,21,TRUE,20)</f>
        <v>22</v>
      </c>
      <c r="T17" s="7" cm="1">
        <f t="array" ref="T17">_xlfn.IFS(S17/25*100&gt;=90,4,S17/25*100&gt;=80,3.6,S17/25*100&gt;=70,3.2,S17/25*100&gt;=60,2.8,S17/25*100&gt;=50,2.4,S17/25*100&gt;=40,2,S17/25*100&gt;=35,1.6,TRUE, 0)</f>
        <v>3.6</v>
      </c>
      <c r="U17" s="7" t="str" cm="1">
        <f t="array" ref="U17">_xlfn.IFS(T17=4,"A+",T17=3.6,"A",T17=3.2,"B+",T17=2.8,"B",T17=2.4,"C+",T17=2,"C",T17=1.6,"D",TRUE,"NG")</f>
        <v>A</v>
      </c>
      <c r="V17" s="7">
        <f t="shared" si="1"/>
        <v>3</v>
      </c>
      <c r="W17" s="7" t="str" cm="1">
        <f t="array" ref="W17">_xlfn.IFS(AND(V17&lt;=4,V17&gt;3.6),"A+",AND(V17&lt;=3.6,V17&gt;3.2),"A",AND(V17&lt;=3.2,V17&gt;2.8),"B+",AND(V17&lt;=2.8,V17&gt;2.4),"B",AND(V17&lt;=2.4,V17&gt;2),"C+",AND(V17&lt;=2,V17&gt;1.6),"C",V17=1.6,"D",TRUE,"NG")</f>
        <v>B+</v>
      </c>
      <c r="X17" s="7">
        <v>41</v>
      </c>
      <c r="Y17" s="7" cm="1">
        <f t="array" ref="Y17">_xlfn.IFS(X17/75*100&gt;=90,4,X17/75*100&gt;=80,3.6,X17/75*100&gt;=70,3.2,X17/75*100&gt;=60,2.8,X17/75*100&gt;=50,2.4,X17/75*100&gt;=40,2,X17/75*100&gt;=35,1.6,TRUE, 0)</f>
        <v>2.4</v>
      </c>
      <c r="Z17" s="7" t="str" cm="1">
        <f t="array" ref="Z17">_xlfn.IFS(Y17=4,"A+",Y17=3.6,"A",Y17=3.2,"B+",Y17=2.8,"B",Y17=2.4,"C+",Y17=2,"C",Y17=1.6,"D",TRUE,"NG")</f>
        <v>C+</v>
      </c>
      <c r="AA17" s="7" cm="1">
        <f t="array" ref="AA17">_xlfn.IFS(X17&gt;=70,25,X17&gt;=60,24,X17&gt;=50,23,X17&gt;=40,22,X17&gt;=30,21,TRUE,20)</f>
        <v>22</v>
      </c>
      <c r="AB17" s="7" cm="1">
        <f t="array" ref="AB17">_xlfn.IFS(AA17/25*100&gt;=90,4,AA17/25*100&gt;=80,3.6,AA17/25*100&gt;=70,3.2,AA17/25*100&gt;=60,2.8,AA17/25*100&gt;=50,2.4,AA17/25*100&gt;=40,2,AA17/25*100&gt;=35,1.6,TRUE, 0)</f>
        <v>3.6</v>
      </c>
      <c r="AC17" s="7" t="str" cm="1">
        <f t="array" ref="AC17">_xlfn.IFS(AB17=4,"A+",AB17=3.6,"A",AB17=3.2,"B+",AB17=2.8,"B",AB17=2.4,"C+",AB17=2,"C",AB17=1.6,"D",TRUE,"NG")</f>
        <v>A</v>
      </c>
      <c r="AD17" s="7">
        <f t="shared" si="2"/>
        <v>2.7</v>
      </c>
      <c r="AE17" s="7" t="str" cm="1">
        <f t="array" ref="AE17">_xlfn.IFS(AND(AD17&lt;=4,AD17&gt;3.6),"A+",AND(AD17&lt;=3.6,AD17&gt;3.2),"A",AND(AD17&lt;=3.2,AD17&gt;2.8),"B+",AND(AD17&lt;=2.8,AD17&gt;2.4),"B",AND(AD17&lt;=2.4,AD17&gt;2),"C+",AND(AD17&lt;=2,AD17&gt;1.6),"C",AD17=1.6,"D",TRUE,"NG")</f>
        <v>B</v>
      </c>
      <c r="AF17" s="7">
        <v>40</v>
      </c>
      <c r="AG17" s="7" cm="1">
        <f t="array" ref="AG17">_xlfn.IFS(AF17/75*100&gt;=90,4,AF17/75*100&gt;=80,3.6,AF17/75*100&gt;=70,3.2,AF17/75*100&gt;=60,2.8,AF17/75*100&gt;=50,2.4,AF17/75*100&gt;=40,2,AF17/75*100&gt;=35,1.6,TRUE, 0)</f>
        <v>2.4</v>
      </c>
      <c r="AH17" s="7" t="str" cm="1">
        <f t="array" ref="AH17">_xlfn.IFS(AG17=4,"A+",AG17=3.6,"A",AG17=3.2,"B+",AG17=2.8,"B",AG17=2.4,"C+",AG17=2,"C",AG17=1.6,"D",TRUE,"NG")</f>
        <v>C+</v>
      </c>
      <c r="AI17" s="7" cm="1">
        <f t="array" ref="AI17">_xlfn.IFS(AF17&gt;=70,25,AF17&gt;=60,24,AF17&gt;=50,23,AF17&gt;=40,22,AF17&gt;=30,21,TRUE,20)</f>
        <v>22</v>
      </c>
      <c r="AJ17" s="7" cm="1">
        <f t="array" ref="AJ17">_xlfn.IFS(AI17/25*100&gt;=90,4,AI17/25*100&gt;=80,3.6,AI17/25*100&gt;=70,3.2,AI17/25*100&gt;=60,2.8,AI17/25*100&gt;=50,2.4,AI17/25*100&gt;=40,2,AI17/25*100&gt;=35,1.6,TRUE, 0)</f>
        <v>3.6</v>
      </c>
      <c r="AK17" s="7" t="str" cm="1">
        <f t="array" ref="AK17">_xlfn.IFS(AJ17=4,"A+",AJ17=3.6,"A",AJ17=3.2,"B+",AJ17=2.8,"B",AJ17=2.4,"C+",AJ17=2,"C",AJ17=1.6,"D",TRUE,"NG")</f>
        <v>A</v>
      </c>
      <c r="AL17" s="7">
        <f t="shared" si="3"/>
        <v>2.7</v>
      </c>
      <c r="AM17" s="7" t="str" cm="1">
        <f t="array" ref="AM17">_xlfn.IFS(AND(AL17&lt;=4,AL17&gt;3.6),"A+",AND(AL17&lt;=3.6,AL17&gt;3.2),"A",AND(AL17&lt;=3.2,AL17&gt;2.8),"B+",AND(AL17&lt;=2.8,AL17&gt;2.4),"B",AND(AL17&lt;=2.4,AL17&gt;2),"C+",AND(AL17&lt;=2,AL17&gt;1.6),"C",AL17=1.6,"D",TRUE,"NG")</f>
        <v>B</v>
      </c>
      <c r="AN17" s="7">
        <v>48</v>
      </c>
      <c r="AO17" s="7" cm="1">
        <f t="array" ref="AO17">_xlfn.IFS(AN17/75*100&gt;=90,4,AN17/75*100&gt;=80,3.6,AN17/75*100&gt;=70,3.2,AN17/75*100&gt;=60,2.8,AN17/75*100&gt;=50,2.4,AN17/75*100&gt;=40,2,AN17/75*100&gt;=35,1.6,TRUE, 0)</f>
        <v>2.8</v>
      </c>
      <c r="AP17" s="7" t="str" cm="1">
        <f t="array" ref="AP17">_xlfn.IFS(AO17=4,"A+",AO17=3.6,"A",AO17=3.2,"B+",AO17=2.8,"B",AO17=2.4,"C+",AO17=2,"C",AO17=1.6,"D",TRUE,"NG")</f>
        <v>B</v>
      </c>
      <c r="AQ17" s="7" cm="1">
        <f t="array" ref="AQ17">_xlfn.IFS(AN17&gt;=70,25,AN17&gt;=60,24,AN17&gt;=50,23,AN17&gt;=40,22,AN17&gt;=30,21,TRUE,20)</f>
        <v>22</v>
      </c>
      <c r="AR17" s="7" cm="1">
        <f t="array" ref="AR17">_xlfn.IFS(AQ17/25*100&gt;=90,4,AQ17/25*100&gt;=80,3.6,AQ17/25*100&gt;=70,3.2,AQ17/25*100&gt;=60,2.8,AQ17/25*100&gt;=50,2.4,AQ17/25*100&gt;=40,2,AQ17/25*100&gt;=35,1.6,TRUE, 0)</f>
        <v>3.6</v>
      </c>
      <c r="AS17" s="7" t="str" cm="1">
        <f t="array" ref="AS17">_xlfn.IFS(AR17=4,"A+",AR17=3.6,"A",AR17=3.2,"B+",AR17=2.8,"B",AR17=2.4,"C+",AR17=2,"C",AR17=1.6,"D",TRUE,"NG")</f>
        <v>A</v>
      </c>
      <c r="AT17" s="7">
        <f t="shared" si="4"/>
        <v>3</v>
      </c>
      <c r="AU17" s="7" t="str" cm="1">
        <f t="array" ref="AU17">_xlfn.IFS(AND(AT17&lt;=4,AT17&gt;3.6),"A+",AND(AT17&lt;=3.6,AT17&gt;3.2),"A",AND(AT17&lt;=3.2,AT17&gt;2.8),"B+",AND(AT17&lt;=2.8,AT17&gt;2.4),"B",AND(AT17&lt;=2.4,AT17&gt;2),"C+",AND(AT17&lt;=2,AT17&gt;1.6),"C",AT17=1.6,"D",TRUE,"NG")</f>
        <v>B+</v>
      </c>
      <c r="AV17" s="7">
        <v>22</v>
      </c>
      <c r="AW17" s="7" cm="1">
        <f t="array" ref="AW17">IF(E17="BS",(_xlfn.IFS(AV17/75*100&gt;=90,4,AV17/75*100&gt;=80,3.6,AV17/75*100&gt;=70,3.2,AV17/75*100&gt;=60,2.8,AV17/75*100&gt;=50,2.4,AV17/75*100&gt;=40,2,AV17/75*100&gt;=35,1.6,TRUE, 0)),(_xlfn.IFS(AV17/50*100&gt;=90,4,AV17/50*100&gt;=80,3.6,AV17/50*100&gt;=70,3.2,AV17/50*100&gt;=60,2.8,AV17/50*100&gt;=50,2.4,AV17/50*100&gt;=40,2,AV17/50*100&gt;=35,1.6,TRUE, 0)))</f>
        <v>2</v>
      </c>
      <c r="AX17" s="7" t="str" cm="1">
        <f t="array" ref="AX17">_xlfn.IFS(AW17="-","-",AW17=4,"A+",AW17=3.6,"A",AW17=3.2,"B+",AW17=2.8,"B",AW17=2.4,"C+",AW17=2,"C",AW17=1.6,"D",TRUE,"NG")</f>
        <v>C</v>
      </c>
      <c r="AY17" s="7" cm="1">
        <f t="array" ref="AY17">IF(E17="BS",(_xlfn.IFS(AV17&gt;=70,25,AV17&gt;=60,24,AV17&gt;=50,23,AV17&gt;=40,22,AV17&gt;=30,21,TRUE,20)),(_xlfn.IFS(AV17&gt;=45,48,AV17&gt;=40,46,AV17&gt;=35,44,AV17&gt;=30,40,AV17&gt;=25,38,TRUE,20)))</f>
        <v>20</v>
      </c>
      <c r="AZ17" s="7" cm="1">
        <f t="array" ref="AZ17">IF(E17="BS",(_xlfn.IFS(AY17/25*100&gt;=90,4,AY17/25*100&gt;=80,3.6,AY17/25*100&gt;=70,3.2,AY17/25*100&gt;=60,2.8,AY17/25*100&gt;=50,2.4,AY17/25*100&gt;=40,2,AY17/25*100&gt;=35,1.6,TRUE, 0)),(_xlfn.IFS(AY17/50*100&gt;=90,4,AY17/50*100&gt;=80,3.6,AY17/50*100&gt;=70,3.2,AY17/50*100&gt;=60,2.8,AY17/50*100&gt;=50,2.4,AY17/50*100&gt;=40,2,AY17/50*100&gt;=35,1.6,TRUE, 0)))</f>
        <v>2</v>
      </c>
      <c r="BA17" s="7" t="str" cm="1">
        <f t="array" ref="BA17">_xlfn.IFS(AZ17="-","-",AZ17=4,"A+",AZ17=3.6,"A",AZ17=3.2,"B+",AZ17=2.8,"B",AZ17=2.4,"C+",AZ17=2,"C",AZ17=1.6,"D",TRUE,"NG")</f>
        <v>C</v>
      </c>
      <c r="BB17" s="7">
        <f>IF(E17="BS",(AW17*3.75+AZ17*1.25)/5,(AW17*2.5+AZ17*2.5)/5)</f>
        <v>2</v>
      </c>
      <c r="BC17" s="7" t="str" cm="1">
        <f t="array" ref="BC17">_xlfn.IFS(BB17="-","-",AND(BB17&lt;=4,BB17&gt;3.6),"A+",AND(BB17&lt;=3.6,BB17&gt;3.2),"A",AND(BB17&lt;=3.2,BB17&gt;2.8),"B+",AND(BB17&lt;=2.8,BB17&gt;2.4),"B",AND(BB17&lt;=2.4,BB17&gt;2),"C+",AND(BB17&lt;=2,BB17&gt;1.6),"C",BB17=1.6,"D",TRUE,"NG")</f>
        <v>C</v>
      </c>
      <c r="BD17" s="12">
        <f>IF(E17="BS",(((I17*3+L17*1)+(Q17*2.25+T17*0.75)+(Y17*3.75+AB17*1.25)+(AG17*3.75+AJ17*1.25)+(AO17*3.75+AR17*1.25)+(AW17*3.75+AZ17*1.25))/(4+3+5*4)),(((I17*3+L17*1)+(Q17*2.25+T17*0.75)+(Y17*3.75+AB17*1.25)+(AG17*3.75+AJ17*1.25)+(AO17*3.75+AR17*1.25)+(AW17*2.5+AZ17*2.5))/(4+3+5*4)))</f>
        <v>2.7037037037037037</v>
      </c>
    </row>
    <row r="18" spans="1:56" x14ac:dyDescent="0.3">
      <c r="A18" s="2">
        <v>21</v>
      </c>
      <c r="B18" s="16">
        <v>793270280034</v>
      </c>
      <c r="C18" s="17">
        <v>12706885</v>
      </c>
      <c r="D18" s="3" t="s">
        <v>280</v>
      </c>
      <c r="E18" s="7" t="s">
        <v>80</v>
      </c>
      <c r="F18" s="20" t="s">
        <v>353</v>
      </c>
      <c r="G18" s="3" t="s">
        <v>318</v>
      </c>
      <c r="H18" s="7">
        <v>57</v>
      </c>
      <c r="I18" s="7" cm="1">
        <f t="array" ref="I18">_xlfn.IFS(H18/75*100&gt;=90,4,H18/75*100&gt;=80,3.6,H18/75*100&gt;=70,3.2,H18/75*100&gt;=60,2.8,H18/75*100&gt;=50,2.4,H18/75*100&gt;=40,2,H18/75*100&gt;=35,1.6,TRUE, 0)</f>
        <v>3.2</v>
      </c>
      <c r="J18" s="7" t="str" cm="1">
        <f t="array" ref="J18">_xlfn.IFS(I18=4,"A+",I18=3.6,"A",I18=3.2,"B+",I18=2.8,"B",I18=2.4,"C+",I18=2,"C",I18=1.6,"D",TRUE,"NG")</f>
        <v>B+</v>
      </c>
      <c r="K18" s="7" cm="1">
        <f t="array" ref="K18">_xlfn.IFS(H18&gt;=70,25,H18&gt;=60,24,H18&gt;=50,23,H18&gt;=40,22,H18&gt;=30,21,TRUE,20)</f>
        <v>23</v>
      </c>
      <c r="L18" s="7" cm="1">
        <f t="array" ref="L18">_xlfn.IFS(K18/25*100&gt;=90,4,K18/25*100&gt;=80,3.6,K18/25*100&gt;=70,3.2,K18/25*100&gt;=60,2.8,K18/25*100&gt;=50,2.4,K18/25*100&gt;=40,2,K18/25*100&gt;=35,1.6,TRUE, 0)</f>
        <v>4</v>
      </c>
      <c r="M18" s="7" t="str" cm="1">
        <f t="array" ref="M18">_xlfn.IFS(L18=4,"A+",L18=3.6,"A",L18=3.2,"B+",L18=2.8,"B",L18=2.4,"C+",L18=2,"C",L18=1.6,"D",TRUE,"NG")</f>
        <v>A+</v>
      </c>
      <c r="N18" s="7">
        <f t="shared" si="0"/>
        <v>3.4000000000000004</v>
      </c>
      <c r="O18" s="7" t="str" cm="1">
        <f t="array" ref="O18">_xlfn.IFS(AND(N18&lt;=4,N18&gt;3.6),"A+",AND(N18&lt;=3.6,N18&gt;3.2),"A",AND(N18&lt;=3.2,N18&gt;2.8),"B+",AND(N18&lt;=2.8,N18&gt;2.4),"B",AND(N18&lt;=2.4,N18&gt;2),"C+",AND(N18&lt;=2,N18&gt;1.6),"C",N18=1.6,"D",TRUE,"NG")</f>
        <v>A</v>
      </c>
      <c r="P18" s="7">
        <v>42</v>
      </c>
      <c r="Q18" s="7" cm="1">
        <f t="array" ref="Q18">_xlfn.IFS(P18/75*100&gt;=90,4,P18/75*100&gt;=80,3.6,P18/75*100&gt;=70,3.2,P18/75*100&gt;=60,2.8,P18/75*100&gt;=50,2.4,P18/75*100&gt;=40,2,P18/75*100&gt;=35,1.6,TRUE, 0)</f>
        <v>2.4</v>
      </c>
      <c r="R18" s="7" t="str" cm="1">
        <f t="array" ref="R18">_xlfn.IFS(Q18=4,"A+",Q18=3.6,"A",Q18=3.2,"B+",Q18=2.8,"B",Q18=2.4,"C+",Q18=2,"C",Q18=1.6,"D",TRUE,"NG")</f>
        <v>C+</v>
      </c>
      <c r="S18" s="7" cm="1">
        <f t="array" ref="S18">_xlfn.IFS(P18&gt;=70,25,P18&gt;=60,24,P18&gt;=50,23,P18&gt;=40,22,P18&gt;=30,21,TRUE,20)</f>
        <v>22</v>
      </c>
      <c r="T18" s="7" cm="1">
        <f t="array" ref="T18">_xlfn.IFS(S18/25*100&gt;=90,4,S18/25*100&gt;=80,3.6,S18/25*100&gt;=70,3.2,S18/25*100&gt;=60,2.8,S18/25*100&gt;=50,2.4,S18/25*100&gt;=40,2,S18/25*100&gt;=35,1.6,TRUE, 0)</f>
        <v>3.6</v>
      </c>
      <c r="U18" s="7" t="str" cm="1">
        <f t="array" ref="U18">_xlfn.IFS(T18=4,"A+",T18=3.6,"A",T18=3.2,"B+",T18=2.8,"B",T18=2.4,"C+",T18=2,"C",T18=1.6,"D",TRUE,"NG")</f>
        <v>A</v>
      </c>
      <c r="V18" s="7">
        <f t="shared" si="1"/>
        <v>2.6999999999999997</v>
      </c>
      <c r="W18" s="7" t="str" cm="1">
        <f t="array" ref="W18">_xlfn.IFS(AND(V18&lt;=4,V18&gt;3.6),"A+",AND(V18&lt;=3.6,V18&gt;3.2),"A",AND(V18&lt;=3.2,V18&gt;2.8),"B+",AND(V18&lt;=2.8,V18&gt;2.4),"B",AND(V18&lt;=2.4,V18&gt;2),"C+",AND(V18&lt;=2,V18&gt;1.6),"C",V18=1.6,"D",TRUE,"NG")</f>
        <v>B</v>
      </c>
      <c r="X18" s="7">
        <v>33</v>
      </c>
      <c r="Y18" s="7" cm="1">
        <f t="array" ref="Y18">_xlfn.IFS(X18/75*100&gt;=90,4,X18/75*100&gt;=80,3.6,X18/75*100&gt;=70,3.2,X18/75*100&gt;=60,2.8,X18/75*100&gt;=50,2.4,X18/75*100&gt;=40,2,X18/75*100&gt;=35,1.6,TRUE, 0)</f>
        <v>2</v>
      </c>
      <c r="Z18" s="7" t="str" cm="1">
        <f t="array" ref="Z18">_xlfn.IFS(Y18=4,"A+",Y18=3.6,"A",Y18=3.2,"B+",Y18=2.8,"B",Y18=2.4,"C+",Y18=2,"C",Y18=1.6,"D",TRUE,"NG")</f>
        <v>C</v>
      </c>
      <c r="AA18" s="7" cm="1">
        <f t="array" ref="AA18">_xlfn.IFS(X18&gt;=70,25,X18&gt;=60,24,X18&gt;=50,23,X18&gt;=40,22,X18&gt;=30,21,TRUE,20)</f>
        <v>21</v>
      </c>
      <c r="AB18" s="7" cm="1">
        <f t="array" ref="AB18">_xlfn.IFS(AA18/25*100&gt;=90,4,AA18/25*100&gt;=80,3.6,AA18/25*100&gt;=70,3.2,AA18/25*100&gt;=60,2.8,AA18/25*100&gt;=50,2.4,AA18/25*100&gt;=40,2,AA18/25*100&gt;=35,1.6,TRUE, 0)</f>
        <v>3.6</v>
      </c>
      <c r="AC18" s="7" t="str" cm="1">
        <f t="array" ref="AC18">_xlfn.IFS(AB18=4,"A+",AB18=3.6,"A",AB18=3.2,"B+",AB18=2.8,"B",AB18=2.4,"C+",AB18=2,"C",AB18=1.6,"D",TRUE,"NG")</f>
        <v>A</v>
      </c>
      <c r="AD18" s="7">
        <f t="shared" si="2"/>
        <v>2.4</v>
      </c>
      <c r="AE18" s="7" t="str" cm="1">
        <f t="array" ref="AE18">_xlfn.IFS(AND(AD18&lt;=4,AD18&gt;3.6),"A+",AND(AD18&lt;=3.6,AD18&gt;3.2),"A",AND(AD18&lt;=3.2,AD18&gt;2.8),"B+",AND(AD18&lt;=2.8,AD18&gt;2.4),"B",AND(AD18&lt;=2.4,AD18&gt;2),"C+",AND(AD18&lt;=2,AD18&gt;1.6),"C",AD18=1.6,"D",TRUE,"NG")</f>
        <v>C+</v>
      </c>
      <c r="AF18" s="7">
        <v>38</v>
      </c>
      <c r="AG18" s="7" cm="1">
        <f t="array" ref="AG18">_xlfn.IFS(AF18/75*100&gt;=90,4,AF18/75*100&gt;=80,3.6,AF18/75*100&gt;=70,3.2,AF18/75*100&gt;=60,2.8,AF18/75*100&gt;=50,2.4,AF18/75*100&gt;=40,2,AF18/75*100&gt;=35,1.6,TRUE, 0)</f>
        <v>2.4</v>
      </c>
      <c r="AH18" s="7" t="str" cm="1">
        <f t="array" ref="AH18">_xlfn.IFS(AG18=4,"A+",AG18=3.6,"A",AG18=3.2,"B+",AG18=2.8,"B",AG18=2.4,"C+",AG18=2,"C",AG18=1.6,"D",TRUE,"NG")</f>
        <v>C+</v>
      </c>
      <c r="AI18" s="7" cm="1">
        <f t="array" ref="AI18">_xlfn.IFS(AF18&gt;=70,25,AF18&gt;=60,24,AF18&gt;=50,23,AF18&gt;=40,22,AF18&gt;=30,21,TRUE,20)</f>
        <v>21</v>
      </c>
      <c r="AJ18" s="7" cm="1">
        <f t="array" ref="AJ18">_xlfn.IFS(AI18/25*100&gt;=90,4,AI18/25*100&gt;=80,3.6,AI18/25*100&gt;=70,3.2,AI18/25*100&gt;=60,2.8,AI18/25*100&gt;=50,2.4,AI18/25*100&gt;=40,2,AI18/25*100&gt;=35,1.6,TRUE, 0)</f>
        <v>3.6</v>
      </c>
      <c r="AK18" s="7" t="str" cm="1">
        <f t="array" ref="AK18">_xlfn.IFS(AJ18=4,"A+",AJ18=3.6,"A",AJ18=3.2,"B+",AJ18=2.8,"B",AJ18=2.4,"C+",AJ18=2,"C",AJ18=1.6,"D",TRUE,"NG")</f>
        <v>A</v>
      </c>
      <c r="AL18" s="7">
        <f t="shared" si="3"/>
        <v>2.7</v>
      </c>
      <c r="AM18" s="7" t="str" cm="1">
        <f t="array" ref="AM18">_xlfn.IFS(AND(AL18&lt;=4,AL18&gt;3.6),"A+",AND(AL18&lt;=3.6,AL18&gt;3.2),"A",AND(AL18&lt;=3.2,AL18&gt;2.8),"B+",AND(AL18&lt;=2.8,AL18&gt;2.4),"B",AND(AL18&lt;=2.4,AL18&gt;2),"C+",AND(AL18&lt;=2,AL18&gt;1.6),"C",AL18=1.6,"D",TRUE,"NG")</f>
        <v>B</v>
      </c>
      <c r="AN18" s="7">
        <v>45</v>
      </c>
      <c r="AO18" s="7" cm="1">
        <f t="array" ref="AO18">_xlfn.IFS(AN18/75*100&gt;=90,4,AN18/75*100&gt;=80,3.6,AN18/75*100&gt;=70,3.2,AN18/75*100&gt;=60,2.8,AN18/75*100&gt;=50,2.4,AN18/75*100&gt;=40,2,AN18/75*100&gt;=35,1.6,TRUE, 0)</f>
        <v>2.8</v>
      </c>
      <c r="AP18" s="7" t="str" cm="1">
        <f t="array" ref="AP18">_xlfn.IFS(AO18=4,"A+",AO18=3.6,"A",AO18=3.2,"B+",AO18=2.8,"B",AO18=2.4,"C+",AO18=2,"C",AO18=1.6,"D",TRUE,"NG")</f>
        <v>B</v>
      </c>
      <c r="AQ18" s="7" cm="1">
        <f t="array" ref="AQ18">_xlfn.IFS(AN18&gt;=70,25,AN18&gt;=60,24,AN18&gt;=50,23,AN18&gt;=40,22,AN18&gt;=30,21,TRUE,20)</f>
        <v>22</v>
      </c>
      <c r="AR18" s="7" cm="1">
        <f t="array" ref="AR18">_xlfn.IFS(AQ18/25*100&gt;=90,4,AQ18/25*100&gt;=80,3.6,AQ18/25*100&gt;=70,3.2,AQ18/25*100&gt;=60,2.8,AQ18/25*100&gt;=50,2.4,AQ18/25*100&gt;=40,2,AQ18/25*100&gt;=35,1.6,TRUE, 0)</f>
        <v>3.6</v>
      </c>
      <c r="AS18" s="7" t="str" cm="1">
        <f t="array" ref="AS18">_xlfn.IFS(AR18=4,"A+",AR18=3.6,"A",AR18=3.2,"B+",AR18=2.8,"B",AR18=2.4,"C+",AR18=2,"C",AR18=1.6,"D",TRUE,"NG")</f>
        <v>A</v>
      </c>
      <c r="AT18" s="7">
        <f t="shared" si="4"/>
        <v>3</v>
      </c>
      <c r="AU18" s="7" t="str" cm="1">
        <f t="array" ref="AU18">_xlfn.IFS(AND(AT18&lt;=4,AT18&gt;3.6),"A+",AND(AT18&lt;=3.6,AT18&gt;3.2),"A",AND(AT18&lt;=3.2,AT18&gt;2.8),"B+",AND(AT18&lt;=2.8,AT18&gt;2.4),"B",AND(AT18&lt;=2.4,AT18&gt;2),"C+",AND(AT18&lt;=2,AT18&gt;1.6),"C",AT18=1.6,"D",TRUE,"NG")</f>
        <v>B+</v>
      </c>
      <c r="AV18" s="7">
        <v>41</v>
      </c>
      <c r="AW18" s="7" cm="1">
        <f t="array" ref="AW18">IF(E18="BS",(_xlfn.IFS(AV18/75*100&gt;=90,4,AV18/75*100&gt;=80,3.6,AV18/75*100&gt;=70,3.2,AV18/75*100&gt;=60,2.8,AV18/75*100&gt;=50,2.4,AV18/75*100&gt;=40,2,AV18/75*100&gt;=35,1.6,TRUE, 0)),(_xlfn.IFS(AV18/50*100&gt;=90,4,AV18/50*100&gt;=80,3.6,AV18/50*100&gt;=70,3.2,AV18/50*100&gt;=60,2.8,AV18/50*100&gt;=50,2.4,AV18/50*100&gt;=40,2,AV18/50*100&gt;=35,1.6,TRUE, 0)))</f>
        <v>3.6</v>
      </c>
      <c r="AX18" s="7" t="str" cm="1">
        <f t="array" ref="AX18">_xlfn.IFS(AW18="-","-",AW18=4,"A+",AW18=3.6,"A",AW18=3.2,"B+",AW18=2.8,"B",AW18=2.4,"C+",AW18=2,"C",AW18=1.6,"D",TRUE,"NG")</f>
        <v>A</v>
      </c>
      <c r="AY18" s="7" cm="1">
        <f t="array" ref="AY18">IF(E18="BS",(_xlfn.IFS(AV18&gt;=70,25,AV18&gt;=60,24,AV18&gt;=50,23,AV18&gt;=40,22,AV18&gt;=30,21,TRUE,20)),(_xlfn.IFS(AV18&gt;=45,48,AV18&gt;=40,46,AV18&gt;=35,44,AV18&gt;=30,40,AV18&gt;=25,38,TRUE,20)))</f>
        <v>46</v>
      </c>
      <c r="AZ18" s="7" cm="1">
        <f t="array" ref="AZ18">IF(E18="BS",(_xlfn.IFS(AY18/25*100&gt;=90,4,AY18/25*100&gt;=80,3.6,AY18/25*100&gt;=70,3.2,AY18/25*100&gt;=60,2.8,AY18/25*100&gt;=50,2.4,AY18/25*100&gt;=40,2,AY18/25*100&gt;=35,1.6,TRUE, 0)),(_xlfn.IFS(AY18/50*100&gt;=90,4,AY18/50*100&gt;=80,3.6,AY18/50*100&gt;=70,3.2,AY18/50*100&gt;=60,2.8,AY18/50*100&gt;=50,2.4,AY18/50*100&gt;=40,2,AY18/50*100&gt;=35,1.6,TRUE, 0)))</f>
        <v>4</v>
      </c>
      <c r="BA18" s="7" t="str" cm="1">
        <f t="array" ref="BA18">_xlfn.IFS(AZ18="-","-",AZ18=4,"A+",AZ18=3.6,"A",AZ18=3.2,"B+",AZ18=2.8,"B",AZ18=2.4,"C+",AZ18=2,"C",AZ18=1.6,"D",TRUE,"NG")</f>
        <v>A+</v>
      </c>
      <c r="BB18" s="7">
        <f>IF(E18="BS",(AW18*3.75+AZ18*1.25)/5,(AW18*2.5+AZ18*2.5)/5)</f>
        <v>3.8</v>
      </c>
      <c r="BC18" s="7" t="str" cm="1">
        <f t="array" ref="BC18">_xlfn.IFS(BB18="-","-",AND(BB18&lt;=4,BB18&gt;3.6),"A+",AND(BB18&lt;=3.6,BB18&gt;3.2),"A",AND(BB18&lt;=3.2,BB18&gt;2.8),"B+",AND(BB18&lt;=2.8,BB18&gt;2.4),"B",AND(BB18&lt;=2.4,BB18&gt;2),"C+",AND(BB18&lt;=2,BB18&gt;1.6),"C",BB18=1.6,"D",TRUE,"NG")</f>
        <v>A+</v>
      </c>
      <c r="BD18" s="12">
        <f>IF(E18="BS",(((I18*3+L18*1)+(Q18*2.25+T18*0.75)+(Y18*3.75+AB18*1.25)+(AG18*3.75+AJ18*1.25)+(AO18*3.75+AR18*1.25)+(AW18*3.75+AZ18*1.25))/(4+3+5*4)),(((I18*3+L18*1)+(Q18*2.25+T18*0.75)+(Y18*3.75+AB18*1.25)+(AG18*3.75+AJ18*1.25)+(AO18*3.75+AR18*1.25)+(AW18*2.5+AZ18*2.5))/(4+3+5*4)))</f>
        <v>3.0074074074074075</v>
      </c>
    </row>
    <row r="19" spans="1:56" x14ac:dyDescent="0.3">
      <c r="A19" s="2">
        <v>22</v>
      </c>
      <c r="B19" s="16">
        <v>793270280044</v>
      </c>
      <c r="C19" s="17">
        <v>12706895</v>
      </c>
      <c r="D19" s="3" t="s">
        <v>281</v>
      </c>
      <c r="E19" s="7" t="s">
        <v>80</v>
      </c>
      <c r="F19" s="20" t="s">
        <v>354</v>
      </c>
      <c r="G19" s="3" t="s">
        <v>319</v>
      </c>
      <c r="H19" s="7">
        <v>62</v>
      </c>
      <c r="I19" s="7" cm="1">
        <f t="array" ref="I19">_xlfn.IFS(H19/75*100&gt;=90,4,H19/75*100&gt;=80,3.6,H19/75*100&gt;=70,3.2,H19/75*100&gt;=60,2.8,H19/75*100&gt;=50,2.4,H19/75*100&gt;=40,2,H19/75*100&gt;=35,1.6,TRUE, 0)</f>
        <v>3.6</v>
      </c>
      <c r="J19" s="7" t="str" cm="1">
        <f t="array" ref="J19">_xlfn.IFS(I19=4,"A+",I19=3.6,"A",I19=3.2,"B+",I19=2.8,"B",I19=2.4,"C+",I19=2,"C",I19=1.6,"D",TRUE,"NG")</f>
        <v>A</v>
      </c>
      <c r="K19" s="7" cm="1">
        <f t="array" ref="K19">_xlfn.IFS(H19&gt;=70,25,H19&gt;=60,24,H19&gt;=50,23,H19&gt;=40,22,H19&gt;=30,21,TRUE,20)</f>
        <v>24</v>
      </c>
      <c r="L19" s="7" cm="1">
        <f t="array" ref="L19">_xlfn.IFS(K19/25*100&gt;=90,4,K19/25*100&gt;=80,3.6,K19/25*100&gt;=70,3.2,K19/25*100&gt;=60,2.8,K19/25*100&gt;=50,2.4,K19/25*100&gt;=40,2,K19/25*100&gt;=35,1.6,TRUE, 0)</f>
        <v>4</v>
      </c>
      <c r="M19" s="7" t="str" cm="1">
        <f t="array" ref="M19">_xlfn.IFS(L19=4,"A+",L19=3.6,"A",L19=3.2,"B+",L19=2.8,"B",L19=2.4,"C+",L19=2,"C",L19=1.6,"D",TRUE,"NG")</f>
        <v>A+</v>
      </c>
      <c r="N19" s="7">
        <f t="shared" si="0"/>
        <v>3.7</v>
      </c>
      <c r="O19" s="7" t="str" cm="1">
        <f t="array" ref="O19">_xlfn.IFS(AND(N19&lt;=4,N19&gt;3.6),"A+",AND(N19&lt;=3.6,N19&gt;3.2),"A",AND(N19&lt;=3.2,N19&gt;2.8),"B+",AND(N19&lt;=2.8,N19&gt;2.4),"B",AND(N19&lt;=2.4,N19&gt;2),"C+",AND(N19&lt;=2,N19&gt;1.6),"C",N19=1.6,"D",TRUE,"NG")</f>
        <v>A+</v>
      </c>
      <c r="P19" s="7">
        <v>58</v>
      </c>
      <c r="Q19" s="7" cm="1">
        <f t="array" ref="Q19">_xlfn.IFS(P19/75*100&gt;=90,4,P19/75*100&gt;=80,3.6,P19/75*100&gt;=70,3.2,P19/75*100&gt;=60,2.8,P19/75*100&gt;=50,2.4,P19/75*100&gt;=40,2,P19/75*100&gt;=35,1.6,TRUE, 0)</f>
        <v>3.2</v>
      </c>
      <c r="R19" s="7" t="str" cm="1">
        <f t="array" ref="R19">_xlfn.IFS(Q19=4,"A+",Q19=3.6,"A",Q19=3.2,"B+",Q19=2.8,"B",Q19=2.4,"C+",Q19=2,"C",Q19=1.6,"D",TRUE,"NG")</f>
        <v>B+</v>
      </c>
      <c r="S19" s="7" cm="1">
        <f t="array" ref="S19">_xlfn.IFS(P19&gt;=70,25,P19&gt;=60,24,P19&gt;=50,23,P19&gt;=40,22,P19&gt;=30,21,TRUE,20)</f>
        <v>23</v>
      </c>
      <c r="T19" s="7" cm="1">
        <f t="array" ref="T19">_xlfn.IFS(S19/25*100&gt;=90,4,S19/25*100&gt;=80,3.6,S19/25*100&gt;=70,3.2,S19/25*100&gt;=60,2.8,S19/25*100&gt;=50,2.4,S19/25*100&gt;=40,2,S19/25*100&gt;=35,1.6,TRUE, 0)</f>
        <v>4</v>
      </c>
      <c r="U19" s="7" t="str" cm="1">
        <f t="array" ref="U19">_xlfn.IFS(T19=4,"A+",T19=3.6,"A",T19=3.2,"B+",T19=2.8,"B",T19=2.4,"C+",T19=2,"C",T19=1.6,"D",TRUE,"NG")</f>
        <v>A+</v>
      </c>
      <c r="V19" s="7">
        <f t="shared" si="1"/>
        <v>3.4</v>
      </c>
      <c r="W19" s="7" t="str" cm="1">
        <f t="array" ref="W19">_xlfn.IFS(AND(V19&lt;=4,V19&gt;3.6),"A+",AND(V19&lt;=3.6,V19&gt;3.2),"A",AND(V19&lt;=3.2,V19&gt;2.8),"B+",AND(V19&lt;=2.8,V19&gt;2.4),"B",AND(V19&lt;=2.4,V19&gt;2),"C+",AND(V19&lt;=2,V19&gt;1.6),"C",V19=1.6,"D",TRUE,"NG")</f>
        <v>A</v>
      </c>
      <c r="X19" s="7">
        <v>47</v>
      </c>
      <c r="Y19" s="7" cm="1">
        <f t="array" ref="Y19">_xlfn.IFS(X19/75*100&gt;=90,4,X19/75*100&gt;=80,3.6,X19/75*100&gt;=70,3.2,X19/75*100&gt;=60,2.8,X19/75*100&gt;=50,2.4,X19/75*100&gt;=40,2,X19/75*100&gt;=35,1.6,TRUE, 0)</f>
        <v>2.8</v>
      </c>
      <c r="Z19" s="7" t="str" cm="1">
        <f t="array" ref="Z19">_xlfn.IFS(Y19=4,"A+",Y19=3.6,"A",Y19=3.2,"B+",Y19=2.8,"B",Y19=2.4,"C+",Y19=2,"C",Y19=1.6,"D",TRUE,"NG")</f>
        <v>B</v>
      </c>
      <c r="AA19" s="7" cm="1">
        <f t="array" ref="AA19">_xlfn.IFS(X19&gt;=70,25,X19&gt;=60,24,X19&gt;=50,23,X19&gt;=40,22,X19&gt;=30,21,TRUE,20)</f>
        <v>22</v>
      </c>
      <c r="AB19" s="7" cm="1">
        <f t="array" ref="AB19">_xlfn.IFS(AA19/25*100&gt;=90,4,AA19/25*100&gt;=80,3.6,AA19/25*100&gt;=70,3.2,AA19/25*100&gt;=60,2.8,AA19/25*100&gt;=50,2.4,AA19/25*100&gt;=40,2,AA19/25*100&gt;=35,1.6,TRUE, 0)</f>
        <v>3.6</v>
      </c>
      <c r="AC19" s="7" t="str" cm="1">
        <f t="array" ref="AC19">_xlfn.IFS(AB19=4,"A+",AB19=3.6,"A",AB19=3.2,"B+",AB19=2.8,"B",AB19=2.4,"C+",AB19=2,"C",AB19=1.6,"D",TRUE,"NG")</f>
        <v>A</v>
      </c>
      <c r="AD19" s="7">
        <f t="shared" si="2"/>
        <v>3</v>
      </c>
      <c r="AE19" s="7" t="str" cm="1">
        <f t="array" ref="AE19">_xlfn.IFS(AND(AD19&lt;=4,AD19&gt;3.6),"A+",AND(AD19&lt;=3.6,AD19&gt;3.2),"A",AND(AD19&lt;=3.2,AD19&gt;2.8),"B+",AND(AD19&lt;=2.8,AD19&gt;2.4),"B",AND(AD19&lt;=2.4,AD19&gt;2),"C+",AND(AD19&lt;=2,AD19&gt;1.6),"C",AD19=1.6,"D",TRUE,"NG")</f>
        <v>B+</v>
      </c>
      <c r="AF19" s="7">
        <v>56</v>
      </c>
      <c r="AG19" s="7" cm="1">
        <f t="array" ref="AG19">_xlfn.IFS(AF19/75*100&gt;=90,4,AF19/75*100&gt;=80,3.6,AF19/75*100&gt;=70,3.2,AF19/75*100&gt;=60,2.8,AF19/75*100&gt;=50,2.4,AF19/75*100&gt;=40,2,AF19/75*100&gt;=35,1.6,TRUE, 0)</f>
        <v>3.2</v>
      </c>
      <c r="AH19" s="7" t="str" cm="1">
        <f t="array" ref="AH19">_xlfn.IFS(AG19=4,"A+",AG19=3.6,"A",AG19=3.2,"B+",AG19=2.8,"B",AG19=2.4,"C+",AG19=2,"C",AG19=1.6,"D",TRUE,"NG")</f>
        <v>B+</v>
      </c>
      <c r="AI19" s="7" cm="1">
        <f t="array" ref="AI19">_xlfn.IFS(AF19&gt;=70,25,AF19&gt;=60,24,AF19&gt;=50,23,AF19&gt;=40,22,AF19&gt;=30,21,TRUE,20)</f>
        <v>23</v>
      </c>
      <c r="AJ19" s="7" cm="1">
        <f t="array" ref="AJ19">_xlfn.IFS(AI19/25*100&gt;=90,4,AI19/25*100&gt;=80,3.6,AI19/25*100&gt;=70,3.2,AI19/25*100&gt;=60,2.8,AI19/25*100&gt;=50,2.4,AI19/25*100&gt;=40,2,AI19/25*100&gt;=35,1.6,TRUE, 0)</f>
        <v>4</v>
      </c>
      <c r="AK19" s="7" t="str" cm="1">
        <f t="array" ref="AK19">_xlfn.IFS(AJ19=4,"A+",AJ19=3.6,"A",AJ19=3.2,"B+",AJ19=2.8,"B",AJ19=2.4,"C+",AJ19=2,"C",AJ19=1.6,"D",TRUE,"NG")</f>
        <v>A+</v>
      </c>
      <c r="AL19" s="7">
        <f t="shared" si="3"/>
        <v>3.4</v>
      </c>
      <c r="AM19" s="7" t="str" cm="1">
        <f t="array" ref="AM19">_xlfn.IFS(AND(AL19&lt;=4,AL19&gt;3.6),"A+",AND(AL19&lt;=3.6,AL19&gt;3.2),"A",AND(AL19&lt;=3.2,AL19&gt;2.8),"B+",AND(AL19&lt;=2.8,AL19&gt;2.4),"B",AND(AL19&lt;=2.4,AL19&gt;2),"C+",AND(AL19&lt;=2,AL19&gt;1.6),"C",AL19=1.6,"D",TRUE,"NG")</f>
        <v>A</v>
      </c>
      <c r="AN19" s="7">
        <v>55</v>
      </c>
      <c r="AO19" s="7" cm="1">
        <f t="array" ref="AO19">_xlfn.IFS(AN19/75*100&gt;=90,4,AN19/75*100&gt;=80,3.6,AN19/75*100&gt;=70,3.2,AN19/75*100&gt;=60,2.8,AN19/75*100&gt;=50,2.4,AN19/75*100&gt;=40,2,AN19/75*100&gt;=35,1.6,TRUE, 0)</f>
        <v>3.2</v>
      </c>
      <c r="AP19" s="7" t="str" cm="1">
        <f t="array" ref="AP19">_xlfn.IFS(AO19=4,"A+",AO19=3.6,"A",AO19=3.2,"B+",AO19=2.8,"B",AO19=2.4,"C+",AO19=2,"C",AO19=1.6,"D",TRUE,"NG")</f>
        <v>B+</v>
      </c>
      <c r="AQ19" s="7" cm="1">
        <f t="array" ref="AQ19">_xlfn.IFS(AN19&gt;=70,25,AN19&gt;=60,24,AN19&gt;=50,23,AN19&gt;=40,22,AN19&gt;=30,21,TRUE,20)</f>
        <v>23</v>
      </c>
      <c r="AR19" s="7" cm="1">
        <f t="array" ref="AR19">_xlfn.IFS(AQ19/25*100&gt;=90,4,AQ19/25*100&gt;=80,3.6,AQ19/25*100&gt;=70,3.2,AQ19/25*100&gt;=60,2.8,AQ19/25*100&gt;=50,2.4,AQ19/25*100&gt;=40,2,AQ19/25*100&gt;=35,1.6,TRUE, 0)</f>
        <v>4</v>
      </c>
      <c r="AS19" s="7" t="str" cm="1">
        <f t="array" ref="AS19">_xlfn.IFS(AR19=4,"A+",AR19=3.6,"A",AR19=3.2,"B+",AR19=2.8,"B",AR19=2.4,"C+",AR19=2,"C",AR19=1.6,"D",TRUE,"NG")</f>
        <v>A+</v>
      </c>
      <c r="AT19" s="7">
        <f t="shared" si="4"/>
        <v>3.4</v>
      </c>
      <c r="AU19" s="7" t="str" cm="1">
        <f t="array" ref="AU19">_xlfn.IFS(AND(AT19&lt;=4,AT19&gt;3.6),"A+",AND(AT19&lt;=3.6,AT19&gt;3.2),"A",AND(AT19&lt;=3.2,AT19&gt;2.8),"B+",AND(AT19&lt;=2.8,AT19&gt;2.4),"B",AND(AT19&lt;=2.4,AT19&gt;2),"C+",AND(AT19&lt;=2,AT19&gt;1.6),"C",AT19=1.6,"D",TRUE,"NG")</f>
        <v>A</v>
      </c>
      <c r="AV19" s="7">
        <v>46</v>
      </c>
      <c r="AW19" s="7" cm="1">
        <f t="array" ref="AW19">IF(E19="BS",(_xlfn.IFS(AV19/75*100&gt;=90,4,AV19/75*100&gt;=80,3.6,AV19/75*100&gt;=70,3.2,AV19/75*100&gt;=60,2.8,AV19/75*100&gt;=50,2.4,AV19/75*100&gt;=40,2,AV19/75*100&gt;=35,1.6,TRUE, 0)),(_xlfn.IFS(AV19/50*100&gt;=90,4,AV19/50*100&gt;=80,3.6,AV19/50*100&gt;=70,3.2,AV19/50*100&gt;=60,2.8,AV19/50*100&gt;=50,2.4,AV19/50*100&gt;=40,2,AV19/50*100&gt;=35,1.6,TRUE, 0)))</f>
        <v>4</v>
      </c>
      <c r="AX19" s="7" t="str" cm="1">
        <f t="array" ref="AX19">_xlfn.IFS(AW19="-","-",AW19=4,"A+",AW19=3.6,"A",AW19=3.2,"B+",AW19=2.8,"B",AW19=2.4,"C+",AW19=2,"C",AW19=1.6,"D",TRUE,"NG")</f>
        <v>A+</v>
      </c>
      <c r="AY19" s="7" cm="1">
        <f t="array" ref="AY19">IF(E19="BS",(_xlfn.IFS(AV19&gt;=70,25,AV19&gt;=60,24,AV19&gt;=50,23,AV19&gt;=40,22,AV19&gt;=30,21,TRUE,20)),(_xlfn.IFS(AV19&gt;=45,48,AV19&gt;=40,46,AV19&gt;=35,44,AV19&gt;=30,40,AV19&gt;=25,38,TRUE,20)))</f>
        <v>48</v>
      </c>
      <c r="AZ19" s="7" cm="1">
        <f t="array" ref="AZ19">IF(E19="BS",(_xlfn.IFS(AY19/25*100&gt;=90,4,AY19/25*100&gt;=80,3.6,AY19/25*100&gt;=70,3.2,AY19/25*100&gt;=60,2.8,AY19/25*100&gt;=50,2.4,AY19/25*100&gt;=40,2,AY19/25*100&gt;=35,1.6,TRUE, 0)),(_xlfn.IFS(AY19/50*100&gt;=90,4,AY19/50*100&gt;=80,3.6,AY19/50*100&gt;=70,3.2,AY19/50*100&gt;=60,2.8,AY19/50*100&gt;=50,2.4,AY19/50*100&gt;=40,2,AY19/50*100&gt;=35,1.6,TRUE, 0)))</f>
        <v>4</v>
      </c>
      <c r="BA19" s="7" t="str" cm="1">
        <f t="array" ref="BA19">_xlfn.IFS(AZ19="-","-",AZ19=4,"A+",AZ19=3.6,"A",AZ19=3.2,"B+",AZ19=2.8,"B",AZ19=2.4,"C+",AZ19=2,"C",AZ19=1.6,"D",TRUE,"NG")</f>
        <v>A+</v>
      </c>
      <c r="BB19" s="7">
        <f>IF(E19="BS",(AW19*3.75+AZ19*1.25)/5,(AW19*2.5+AZ19*2.5)/5)</f>
        <v>4</v>
      </c>
      <c r="BC19" s="7" t="str" cm="1">
        <f t="array" ref="BC19">_xlfn.IFS(BB19="-","-",AND(BB19&lt;=4,BB19&gt;3.6),"A+",AND(BB19&lt;=3.6,BB19&gt;3.2),"A",AND(BB19&lt;=3.2,BB19&gt;2.8),"B+",AND(BB19&lt;=2.8,BB19&gt;2.4),"B",AND(BB19&lt;=2.4,BB19&gt;2),"C+",AND(BB19&lt;=2,BB19&gt;1.6),"C",BB19=1.6,"D",TRUE,"NG")</f>
        <v>A+</v>
      </c>
      <c r="BD19" s="12">
        <f>IF(E19="BS",(((I19*3+L19*1)+(Q19*2.25+T19*0.75)+(Y19*3.75+AB19*1.25)+(AG19*3.75+AJ19*1.25)+(AO19*3.75+AR19*1.25)+(AW19*3.75+AZ19*1.25))/(4+3+5*4)),(((I19*3+L19*1)+(Q19*2.25+T19*0.75)+(Y19*3.75+AB19*1.25)+(AG19*3.75+AJ19*1.25)+(AO19*3.75+AR19*1.25)+(AW19*2.5+AZ19*2.5))/(4+3+5*4)))</f>
        <v>3.4814814814814814</v>
      </c>
    </row>
    <row r="20" spans="1:56" x14ac:dyDescent="0.3">
      <c r="A20" s="2">
        <v>23</v>
      </c>
      <c r="B20" s="16">
        <v>793270280048</v>
      </c>
      <c r="C20" s="17">
        <v>12706899</v>
      </c>
      <c r="D20" s="3" t="s">
        <v>282</v>
      </c>
      <c r="E20" s="7" t="s">
        <v>80</v>
      </c>
      <c r="F20" s="20" t="s">
        <v>355</v>
      </c>
      <c r="G20" s="3" t="s">
        <v>320</v>
      </c>
      <c r="H20" s="7">
        <v>58</v>
      </c>
      <c r="I20" s="7" cm="1">
        <f t="array" ref="I20">_xlfn.IFS(H20/75*100&gt;=90,4,H20/75*100&gt;=80,3.6,H20/75*100&gt;=70,3.2,H20/75*100&gt;=60,2.8,H20/75*100&gt;=50,2.4,H20/75*100&gt;=40,2,H20/75*100&gt;=35,1.6,TRUE, 0)</f>
        <v>3.2</v>
      </c>
      <c r="J20" s="7" t="str" cm="1">
        <f t="array" ref="J20">_xlfn.IFS(I20=4,"A+",I20=3.6,"A",I20=3.2,"B+",I20=2.8,"B",I20=2.4,"C+",I20=2,"C",I20=1.6,"D",TRUE,"NG")</f>
        <v>B+</v>
      </c>
      <c r="K20" s="7" cm="1">
        <f t="array" ref="K20">_xlfn.IFS(H20&gt;=70,25,H20&gt;=60,24,H20&gt;=50,23,H20&gt;=40,22,H20&gt;=30,21,TRUE,20)</f>
        <v>23</v>
      </c>
      <c r="L20" s="7" cm="1">
        <f t="array" ref="L20">_xlfn.IFS(K20/25*100&gt;=90,4,K20/25*100&gt;=80,3.6,K20/25*100&gt;=70,3.2,K20/25*100&gt;=60,2.8,K20/25*100&gt;=50,2.4,K20/25*100&gt;=40,2,K20/25*100&gt;=35,1.6,TRUE, 0)</f>
        <v>4</v>
      </c>
      <c r="M20" s="7" t="str" cm="1">
        <f t="array" ref="M20">_xlfn.IFS(L20=4,"A+",L20=3.6,"A",L20=3.2,"B+",L20=2.8,"B",L20=2.4,"C+",L20=2,"C",L20=1.6,"D",TRUE,"NG")</f>
        <v>A+</v>
      </c>
      <c r="N20" s="7">
        <f t="shared" si="0"/>
        <v>3.4000000000000004</v>
      </c>
      <c r="O20" s="7" t="str" cm="1">
        <f t="array" ref="O20">_xlfn.IFS(AND(N20&lt;=4,N20&gt;3.6),"A+",AND(N20&lt;=3.6,N20&gt;3.2),"A",AND(N20&lt;=3.2,N20&gt;2.8),"B+",AND(N20&lt;=2.8,N20&gt;2.4),"B",AND(N20&lt;=2.4,N20&gt;2),"C+",AND(N20&lt;=2,N20&gt;1.6),"C",N20=1.6,"D",TRUE,"NG")</f>
        <v>A</v>
      </c>
      <c r="P20" s="7">
        <v>52</v>
      </c>
      <c r="Q20" s="7" cm="1">
        <f t="array" ref="Q20">_xlfn.IFS(P20/75*100&gt;=90,4,P20/75*100&gt;=80,3.6,P20/75*100&gt;=70,3.2,P20/75*100&gt;=60,2.8,P20/75*100&gt;=50,2.4,P20/75*100&gt;=40,2,P20/75*100&gt;=35,1.6,TRUE, 0)</f>
        <v>2.8</v>
      </c>
      <c r="R20" s="7" t="str" cm="1">
        <f t="array" ref="R20">_xlfn.IFS(Q20=4,"A+",Q20=3.6,"A",Q20=3.2,"B+",Q20=2.8,"B",Q20=2.4,"C+",Q20=2,"C",Q20=1.6,"D",TRUE,"NG")</f>
        <v>B</v>
      </c>
      <c r="S20" s="7" cm="1">
        <f t="array" ref="S20">_xlfn.IFS(P20&gt;=70,25,P20&gt;=60,24,P20&gt;=50,23,P20&gt;=40,22,P20&gt;=30,21,TRUE,20)</f>
        <v>23</v>
      </c>
      <c r="T20" s="7" cm="1">
        <f t="array" ref="T20">_xlfn.IFS(S20/25*100&gt;=90,4,S20/25*100&gt;=80,3.6,S20/25*100&gt;=70,3.2,S20/25*100&gt;=60,2.8,S20/25*100&gt;=50,2.4,S20/25*100&gt;=40,2,S20/25*100&gt;=35,1.6,TRUE, 0)</f>
        <v>4</v>
      </c>
      <c r="U20" s="7" t="str" cm="1">
        <f t="array" ref="U20">_xlfn.IFS(T20=4,"A+",T20=3.6,"A",T20=3.2,"B+",T20=2.8,"B",T20=2.4,"C+",T20=2,"C",T20=1.6,"D",TRUE,"NG")</f>
        <v>A+</v>
      </c>
      <c r="V20" s="7">
        <f t="shared" si="1"/>
        <v>3.1</v>
      </c>
      <c r="W20" s="7" t="str" cm="1">
        <f t="array" ref="W20">_xlfn.IFS(AND(V20&lt;=4,V20&gt;3.6),"A+",AND(V20&lt;=3.6,V20&gt;3.2),"A",AND(V20&lt;=3.2,V20&gt;2.8),"B+",AND(V20&lt;=2.8,V20&gt;2.4),"B",AND(V20&lt;=2.4,V20&gt;2),"C+",AND(V20&lt;=2,V20&gt;1.6),"C",V20=1.6,"D",TRUE,"NG")</f>
        <v>B+</v>
      </c>
      <c r="X20" s="7">
        <v>45</v>
      </c>
      <c r="Y20" s="7" cm="1">
        <f t="array" ref="Y20">_xlfn.IFS(X20/75*100&gt;=90,4,X20/75*100&gt;=80,3.6,X20/75*100&gt;=70,3.2,X20/75*100&gt;=60,2.8,X20/75*100&gt;=50,2.4,X20/75*100&gt;=40,2,X20/75*100&gt;=35,1.6,TRUE, 0)</f>
        <v>2.8</v>
      </c>
      <c r="Z20" s="7" t="str" cm="1">
        <f t="array" ref="Z20">_xlfn.IFS(Y20=4,"A+",Y20=3.6,"A",Y20=3.2,"B+",Y20=2.8,"B",Y20=2.4,"C+",Y20=2,"C",Y20=1.6,"D",TRUE,"NG")</f>
        <v>B</v>
      </c>
      <c r="AA20" s="7" cm="1">
        <f t="array" ref="AA20">_xlfn.IFS(X20&gt;=70,25,X20&gt;=60,24,X20&gt;=50,23,X20&gt;=40,22,X20&gt;=30,21,TRUE,20)</f>
        <v>22</v>
      </c>
      <c r="AB20" s="7" cm="1">
        <f t="array" ref="AB20">_xlfn.IFS(AA20/25*100&gt;=90,4,AA20/25*100&gt;=80,3.6,AA20/25*100&gt;=70,3.2,AA20/25*100&gt;=60,2.8,AA20/25*100&gt;=50,2.4,AA20/25*100&gt;=40,2,AA20/25*100&gt;=35,1.6,TRUE, 0)</f>
        <v>3.6</v>
      </c>
      <c r="AC20" s="7" t="str" cm="1">
        <f t="array" ref="AC20">_xlfn.IFS(AB20=4,"A+",AB20=3.6,"A",AB20=3.2,"B+",AB20=2.8,"B",AB20=2.4,"C+",AB20=2,"C",AB20=1.6,"D",TRUE,"NG")</f>
        <v>A</v>
      </c>
      <c r="AD20" s="7">
        <f t="shared" si="2"/>
        <v>3</v>
      </c>
      <c r="AE20" s="7" t="str" cm="1">
        <f t="array" ref="AE20">_xlfn.IFS(AND(AD20&lt;=4,AD20&gt;3.6),"A+",AND(AD20&lt;=3.6,AD20&gt;3.2),"A",AND(AD20&lt;=3.2,AD20&gt;2.8),"B+",AND(AD20&lt;=2.8,AD20&gt;2.4),"B",AND(AD20&lt;=2.4,AD20&gt;2),"C+",AND(AD20&lt;=2,AD20&gt;1.6),"C",AD20=1.6,"D",TRUE,"NG")</f>
        <v>B+</v>
      </c>
      <c r="AF20" s="7">
        <v>60</v>
      </c>
      <c r="AG20" s="7" cm="1">
        <f t="array" ref="AG20">_xlfn.IFS(AF20/75*100&gt;=90,4,AF20/75*100&gt;=80,3.6,AF20/75*100&gt;=70,3.2,AF20/75*100&gt;=60,2.8,AF20/75*100&gt;=50,2.4,AF20/75*100&gt;=40,2,AF20/75*100&gt;=35,1.6,TRUE, 0)</f>
        <v>3.6</v>
      </c>
      <c r="AH20" s="7" t="str" cm="1">
        <f t="array" ref="AH20">_xlfn.IFS(AG20=4,"A+",AG20=3.6,"A",AG20=3.2,"B+",AG20=2.8,"B",AG20=2.4,"C+",AG20=2,"C",AG20=1.6,"D",TRUE,"NG")</f>
        <v>A</v>
      </c>
      <c r="AI20" s="7" cm="1">
        <f t="array" ref="AI20">_xlfn.IFS(AF20&gt;=70,25,AF20&gt;=60,24,AF20&gt;=50,23,AF20&gt;=40,22,AF20&gt;=30,21,TRUE,20)</f>
        <v>24</v>
      </c>
      <c r="AJ20" s="7" cm="1">
        <f t="array" ref="AJ20">_xlfn.IFS(AI20/25*100&gt;=90,4,AI20/25*100&gt;=80,3.6,AI20/25*100&gt;=70,3.2,AI20/25*100&gt;=60,2.8,AI20/25*100&gt;=50,2.4,AI20/25*100&gt;=40,2,AI20/25*100&gt;=35,1.6,TRUE, 0)</f>
        <v>4</v>
      </c>
      <c r="AK20" s="7" t="str" cm="1">
        <f t="array" ref="AK20">_xlfn.IFS(AJ20=4,"A+",AJ20=3.6,"A",AJ20=3.2,"B+",AJ20=2.8,"B",AJ20=2.4,"C+",AJ20=2,"C",AJ20=1.6,"D",TRUE,"NG")</f>
        <v>A+</v>
      </c>
      <c r="AL20" s="7">
        <f t="shared" si="3"/>
        <v>3.7</v>
      </c>
      <c r="AM20" s="7" t="str" cm="1">
        <f t="array" ref="AM20">_xlfn.IFS(AND(AL20&lt;=4,AL20&gt;3.6),"A+",AND(AL20&lt;=3.6,AL20&gt;3.2),"A",AND(AL20&lt;=3.2,AL20&gt;2.8),"B+",AND(AL20&lt;=2.8,AL20&gt;2.4),"B",AND(AL20&lt;=2.4,AL20&gt;2),"C+",AND(AL20&lt;=2,AL20&gt;1.6),"C",AL20=1.6,"D",TRUE,"NG")</f>
        <v>A+</v>
      </c>
      <c r="AN20" s="7">
        <v>48</v>
      </c>
      <c r="AO20" s="7" cm="1">
        <f t="array" ref="AO20">_xlfn.IFS(AN20/75*100&gt;=90,4,AN20/75*100&gt;=80,3.6,AN20/75*100&gt;=70,3.2,AN20/75*100&gt;=60,2.8,AN20/75*100&gt;=50,2.4,AN20/75*100&gt;=40,2,AN20/75*100&gt;=35,1.6,TRUE, 0)</f>
        <v>2.8</v>
      </c>
      <c r="AP20" s="7" t="str" cm="1">
        <f t="array" ref="AP20">_xlfn.IFS(AO20=4,"A+",AO20=3.6,"A",AO20=3.2,"B+",AO20=2.8,"B",AO20=2.4,"C+",AO20=2,"C",AO20=1.6,"D",TRUE,"NG")</f>
        <v>B</v>
      </c>
      <c r="AQ20" s="7" cm="1">
        <f t="array" ref="AQ20">_xlfn.IFS(AN20&gt;=70,25,AN20&gt;=60,24,AN20&gt;=50,23,AN20&gt;=40,22,AN20&gt;=30,21,TRUE,20)</f>
        <v>22</v>
      </c>
      <c r="AR20" s="7" cm="1">
        <f t="array" ref="AR20">_xlfn.IFS(AQ20/25*100&gt;=90,4,AQ20/25*100&gt;=80,3.6,AQ20/25*100&gt;=70,3.2,AQ20/25*100&gt;=60,2.8,AQ20/25*100&gt;=50,2.4,AQ20/25*100&gt;=40,2,AQ20/25*100&gt;=35,1.6,TRUE, 0)</f>
        <v>3.6</v>
      </c>
      <c r="AS20" s="7" t="str" cm="1">
        <f t="array" ref="AS20">_xlfn.IFS(AR20=4,"A+",AR20=3.6,"A",AR20=3.2,"B+",AR20=2.8,"B",AR20=2.4,"C+",AR20=2,"C",AR20=1.6,"D",TRUE,"NG")</f>
        <v>A</v>
      </c>
      <c r="AT20" s="7">
        <f t="shared" si="4"/>
        <v>3</v>
      </c>
      <c r="AU20" s="7" t="str" cm="1">
        <f t="array" ref="AU20">_xlfn.IFS(AND(AT20&lt;=4,AT20&gt;3.6),"A+",AND(AT20&lt;=3.6,AT20&gt;3.2),"A",AND(AT20&lt;=3.2,AT20&gt;2.8),"B+",AND(AT20&lt;=2.8,AT20&gt;2.4),"B",AND(AT20&lt;=2.4,AT20&gt;2),"C+",AND(AT20&lt;=2,AT20&gt;1.6),"C",AT20=1.6,"D",TRUE,"NG")</f>
        <v>B+</v>
      </c>
      <c r="AV20" s="7">
        <v>42</v>
      </c>
      <c r="AW20" s="7" cm="1">
        <f t="array" ref="AW20">IF(E20="BS",(_xlfn.IFS(AV20/75*100&gt;=90,4,AV20/75*100&gt;=80,3.6,AV20/75*100&gt;=70,3.2,AV20/75*100&gt;=60,2.8,AV20/75*100&gt;=50,2.4,AV20/75*100&gt;=40,2,AV20/75*100&gt;=35,1.6,TRUE, 0)),(_xlfn.IFS(AV20/50*100&gt;=90,4,AV20/50*100&gt;=80,3.6,AV20/50*100&gt;=70,3.2,AV20/50*100&gt;=60,2.8,AV20/50*100&gt;=50,2.4,AV20/50*100&gt;=40,2,AV20/50*100&gt;=35,1.6,TRUE, 0)))</f>
        <v>3.6</v>
      </c>
      <c r="AX20" s="7" t="str" cm="1">
        <f t="array" ref="AX20">_xlfn.IFS(AW20="-","-",AW20=4,"A+",AW20=3.6,"A",AW20=3.2,"B+",AW20=2.8,"B",AW20=2.4,"C+",AW20=2,"C",AW20=1.6,"D",TRUE,"NG")</f>
        <v>A</v>
      </c>
      <c r="AY20" s="7" cm="1">
        <f t="array" ref="AY20">IF(E20="BS",(_xlfn.IFS(AV20&gt;=70,25,AV20&gt;=60,24,AV20&gt;=50,23,AV20&gt;=40,22,AV20&gt;=30,21,TRUE,20)),(_xlfn.IFS(AV20&gt;=45,48,AV20&gt;=40,46,AV20&gt;=35,44,AV20&gt;=30,40,AV20&gt;=25,38,TRUE,20)))</f>
        <v>46</v>
      </c>
      <c r="AZ20" s="7" cm="1">
        <f t="array" ref="AZ20">IF(E20="BS",(_xlfn.IFS(AY20/25*100&gt;=90,4,AY20/25*100&gt;=80,3.6,AY20/25*100&gt;=70,3.2,AY20/25*100&gt;=60,2.8,AY20/25*100&gt;=50,2.4,AY20/25*100&gt;=40,2,AY20/25*100&gt;=35,1.6,TRUE, 0)),(_xlfn.IFS(AY20/50*100&gt;=90,4,AY20/50*100&gt;=80,3.6,AY20/50*100&gt;=70,3.2,AY20/50*100&gt;=60,2.8,AY20/50*100&gt;=50,2.4,AY20/50*100&gt;=40,2,AY20/50*100&gt;=35,1.6,TRUE, 0)))</f>
        <v>4</v>
      </c>
      <c r="BA20" s="7" t="str" cm="1">
        <f t="array" ref="BA20">_xlfn.IFS(AZ20="-","-",AZ20=4,"A+",AZ20=3.6,"A",AZ20=3.2,"B+",AZ20=2.8,"B",AZ20=2.4,"C+",AZ20=2,"C",AZ20=1.6,"D",TRUE,"NG")</f>
        <v>A+</v>
      </c>
      <c r="BB20" s="7">
        <f>IF(E20="BS",(AW20*3.75+AZ20*1.25)/5,(AW20*2.5+AZ20*2.5)/5)</f>
        <v>3.8</v>
      </c>
      <c r="BC20" s="7" t="str" cm="1">
        <f t="array" ref="BC20">_xlfn.IFS(BB20="-","-",AND(BB20&lt;=4,BB20&gt;3.6),"A+",AND(BB20&lt;=3.6,BB20&gt;3.2),"A",AND(BB20&lt;=3.2,BB20&gt;2.8),"B+",AND(BB20&lt;=2.8,BB20&gt;2.4),"B",AND(BB20&lt;=2.4,BB20&gt;2),"C+",AND(BB20&lt;=2,BB20&gt;1.6),"C",BB20=1.6,"D",TRUE,"NG")</f>
        <v>A+</v>
      </c>
      <c r="BD20" s="12">
        <f>IF(E20="BS",(((I20*3+L20*1)+(Q20*2.25+T20*0.75)+(Y20*3.75+AB20*1.25)+(AG20*3.75+AJ20*1.25)+(AO20*3.75+AR20*1.25)+(AW20*3.75+AZ20*1.25))/(4+3+5*4)),(((I20*3+L20*1)+(Q20*2.25+T20*0.75)+(Y20*3.75+AB20*1.25)+(AG20*3.75+AJ20*1.25)+(AO20*3.75+AR20*1.25)+(AW20*2.5+AZ20*2.5))/(4+3+5*4)))</f>
        <v>3.3481481481481485</v>
      </c>
    </row>
    <row r="21" spans="1:56" x14ac:dyDescent="0.3">
      <c r="A21" s="2">
        <v>24</v>
      </c>
      <c r="B21" s="16">
        <v>793270280059</v>
      </c>
      <c r="C21" s="17">
        <v>12706910</v>
      </c>
      <c r="D21" s="3" t="s">
        <v>283</v>
      </c>
      <c r="E21" s="7" t="s">
        <v>80</v>
      </c>
      <c r="F21" s="20" t="s">
        <v>356</v>
      </c>
      <c r="G21" s="3" t="s">
        <v>321</v>
      </c>
      <c r="H21" s="7">
        <v>38</v>
      </c>
      <c r="I21" s="7" cm="1">
        <f t="array" ref="I21">_xlfn.IFS(H21/75*100&gt;=90,4,H21/75*100&gt;=80,3.6,H21/75*100&gt;=70,3.2,H21/75*100&gt;=60,2.8,H21/75*100&gt;=50,2.4,H21/75*100&gt;=40,2,H21/75*100&gt;=35,1.6,TRUE, 0)</f>
        <v>2.4</v>
      </c>
      <c r="J21" s="7" t="str" cm="1">
        <f t="array" ref="J21">_xlfn.IFS(I21=4,"A+",I21=3.6,"A",I21=3.2,"B+",I21=2.8,"B",I21=2.4,"C+",I21=2,"C",I21=1.6,"D",TRUE,"NG")</f>
        <v>C+</v>
      </c>
      <c r="K21" s="7" cm="1">
        <f t="array" ref="K21">_xlfn.IFS(H21&gt;=70,25,H21&gt;=60,24,H21&gt;=50,23,H21&gt;=40,22,H21&gt;=30,21,TRUE,20)</f>
        <v>21</v>
      </c>
      <c r="L21" s="7" cm="1">
        <f t="array" ref="L21">_xlfn.IFS(K21/25*100&gt;=90,4,K21/25*100&gt;=80,3.6,K21/25*100&gt;=70,3.2,K21/25*100&gt;=60,2.8,K21/25*100&gt;=50,2.4,K21/25*100&gt;=40,2,K21/25*100&gt;=35,1.6,TRUE, 0)</f>
        <v>3.6</v>
      </c>
      <c r="M21" s="7" t="str" cm="1">
        <f t="array" ref="M21">_xlfn.IFS(L21=4,"A+",L21=3.6,"A",L21=3.2,"B+",L21=2.8,"B",L21=2.4,"C+",L21=2,"C",L21=1.6,"D",TRUE,"NG")</f>
        <v>A</v>
      </c>
      <c r="N21" s="7">
        <f t="shared" si="0"/>
        <v>2.6999999999999997</v>
      </c>
      <c r="O21" s="7" t="str" cm="1">
        <f t="array" ref="O21">_xlfn.IFS(AND(N21&lt;=4,N21&gt;3.6),"A+",AND(N21&lt;=3.6,N21&gt;3.2),"A",AND(N21&lt;=3.2,N21&gt;2.8),"B+",AND(N21&lt;=2.8,N21&gt;2.4),"B",AND(N21&lt;=2.4,N21&gt;2),"C+",AND(N21&lt;=2,N21&gt;1.6),"C",N21=1.6,"D",TRUE,"NG")</f>
        <v>B</v>
      </c>
      <c r="P21" s="7">
        <v>32</v>
      </c>
      <c r="Q21" s="7" cm="1">
        <f t="array" ref="Q21">_xlfn.IFS(P21/75*100&gt;=90,4,P21/75*100&gt;=80,3.6,P21/75*100&gt;=70,3.2,P21/75*100&gt;=60,2.8,P21/75*100&gt;=50,2.4,P21/75*100&gt;=40,2,P21/75*100&gt;=35,1.6,TRUE, 0)</f>
        <v>2</v>
      </c>
      <c r="R21" s="7" t="str" cm="1">
        <f t="array" ref="R21">_xlfn.IFS(Q21=4,"A+",Q21=3.6,"A",Q21=3.2,"B+",Q21=2.8,"B",Q21=2.4,"C+",Q21=2,"C",Q21=1.6,"D",TRUE,"NG")</f>
        <v>C</v>
      </c>
      <c r="S21" s="7" cm="1">
        <f t="array" ref="S21">_xlfn.IFS(P21&gt;=70,25,P21&gt;=60,24,P21&gt;=50,23,P21&gt;=40,22,P21&gt;=30,21,TRUE,20)</f>
        <v>21</v>
      </c>
      <c r="T21" s="7" cm="1">
        <f t="array" ref="T21">_xlfn.IFS(S21/25*100&gt;=90,4,S21/25*100&gt;=80,3.6,S21/25*100&gt;=70,3.2,S21/25*100&gt;=60,2.8,S21/25*100&gt;=50,2.4,S21/25*100&gt;=40,2,S21/25*100&gt;=35,1.6,TRUE, 0)</f>
        <v>3.6</v>
      </c>
      <c r="U21" s="7" t="str" cm="1">
        <f t="array" ref="U21">_xlfn.IFS(T21=4,"A+",T21=3.6,"A",T21=3.2,"B+",T21=2.8,"B",T21=2.4,"C+",T21=2,"C",T21=1.6,"D",TRUE,"NG")</f>
        <v>A</v>
      </c>
      <c r="V21" s="7">
        <f t="shared" si="1"/>
        <v>2.4</v>
      </c>
      <c r="W21" s="7" t="str" cm="1">
        <f t="array" ref="W21">_xlfn.IFS(AND(V21&lt;=4,V21&gt;3.6),"A+",AND(V21&lt;=3.6,V21&gt;3.2),"A",AND(V21&lt;=3.2,V21&gt;2.8),"B+",AND(V21&lt;=2.8,V21&gt;2.4),"B",AND(V21&lt;=2.4,V21&gt;2),"C+",AND(V21&lt;=2,V21&gt;1.6),"C",V21=1.6,"D",TRUE,"NG")</f>
        <v>C+</v>
      </c>
      <c r="X21" s="7">
        <v>33</v>
      </c>
      <c r="Y21" s="7" cm="1">
        <f t="array" ref="Y21">_xlfn.IFS(X21/75*100&gt;=90,4,X21/75*100&gt;=80,3.6,X21/75*100&gt;=70,3.2,X21/75*100&gt;=60,2.8,X21/75*100&gt;=50,2.4,X21/75*100&gt;=40,2,X21/75*100&gt;=35,1.6,TRUE, 0)</f>
        <v>2</v>
      </c>
      <c r="Z21" s="7" t="str" cm="1">
        <f t="array" ref="Z21">_xlfn.IFS(Y21=4,"A+",Y21=3.6,"A",Y21=3.2,"B+",Y21=2.8,"B",Y21=2.4,"C+",Y21=2,"C",Y21=1.6,"D",TRUE,"NG")</f>
        <v>C</v>
      </c>
      <c r="AA21" s="7" cm="1">
        <f t="array" ref="AA21">_xlfn.IFS(X21&gt;=70,25,X21&gt;=60,24,X21&gt;=50,23,X21&gt;=40,22,X21&gt;=30,21,TRUE,20)</f>
        <v>21</v>
      </c>
      <c r="AB21" s="7" cm="1">
        <f t="array" ref="AB21">_xlfn.IFS(AA21/25*100&gt;=90,4,AA21/25*100&gt;=80,3.6,AA21/25*100&gt;=70,3.2,AA21/25*100&gt;=60,2.8,AA21/25*100&gt;=50,2.4,AA21/25*100&gt;=40,2,AA21/25*100&gt;=35,1.6,TRUE, 0)</f>
        <v>3.6</v>
      </c>
      <c r="AC21" s="7" t="str" cm="1">
        <f t="array" ref="AC21">_xlfn.IFS(AB21=4,"A+",AB21=3.6,"A",AB21=3.2,"B+",AB21=2.8,"B",AB21=2.4,"C+",AB21=2,"C",AB21=1.6,"D",TRUE,"NG")</f>
        <v>A</v>
      </c>
      <c r="AD21" s="7">
        <f t="shared" si="2"/>
        <v>2.4</v>
      </c>
      <c r="AE21" s="7" t="str" cm="1">
        <f t="array" ref="AE21">_xlfn.IFS(AND(AD21&lt;=4,AD21&gt;3.6),"A+",AND(AD21&lt;=3.6,AD21&gt;3.2),"A",AND(AD21&lt;=3.2,AD21&gt;2.8),"B+",AND(AD21&lt;=2.8,AD21&gt;2.4),"B",AND(AD21&lt;=2.4,AD21&gt;2),"C+",AND(AD21&lt;=2,AD21&gt;1.6),"C",AD21=1.6,"D",TRUE,"NG")</f>
        <v>C+</v>
      </c>
      <c r="AF21" s="7">
        <v>27</v>
      </c>
      <c r="AG21" s="7" cm="1">
        <f t="array" ref="AG21">_xlfn.IFS(AF21/75*100&gt;=90,4,AF21/75*100&gt;=80,3.6,AF21/75*100&gt;=70,3.2,AF21/75*100&gt;=60,2.8,AF21/75*100&gt;=50,2.4,AF21/75*100&gt;=40,2,AF21/75*100&gt;=35,1.6,TRUE, 0)</f>
        <v>1.6</v>
      </c>
      <c r="AH21" s="7" t="str" cm="1">
        <f t="array" ref="AH21">_xlfn.IFS(AG21=4,"A+",AG21=3.6,"A",AG21=3.2,"B+",AG21=2.8,"B",AG21=2.4,"C+",AG21=2,"C",AG21=1.6,"D",TRUE,"NG")</f>
        <v>D</v>
      </c>
      <c r="AI21" s="7" cm="1">
        <f t="array" ref="AI21">_xlfn.IFS(AF21&gt;=70,25,AF21&gt;=60,24,AF21&gt;=50,23,AF21&gt;=40,22,AF21&gt;=30,21,TRUE,20)</f>
        <v>20</v>
      </c>
      <c r="AJ21" s="7" cm="1">
        <f t="array" ref="AJ21">_xlfn.IFS(AI21/25*100&gt;=90,4,AI21/25*100&gt;=80,3.6,AI21/25*100&gt;=70,3.2,AI21/25*100&gt;=60,2.8,AI21/25*100&gt;=50,2.4,AI21/25*100&gt;=40,2,AI21/25*100&gt;=35,1.6,TRUE, 0)</f>
        <v>3.6</v>
      </c>
      <c r="AK21" s="7" t="str" cm="1">
        <f t="array" ref="AK21">_xlfn.IFS(AJ21=4,"A+",AJ21=3.6,"A",AJ21=3.2,"B+",AJ21=2.8,"B",AJ21=2.4,"C+",AJ21=2,"C",AJ21=1.6,"D",TRUE,"NG")</f>
        <v>A</v>
      </c>
      <c r="AL21" s="7">
        <f t="shared" si="3"/>
        <v>2.1</v>
      </c>
      <c r="AM21" s="7" t="str" cm="1">
        <f t="array" ref="AM21">_xlfn.IFS(AND(AL21&lt;=4,AL21&gt;3.6),"A+",AND(AL21&lt;=3.6,AL21&gt;3.2),"A",AND(AL21&lt;=3.2,AL21&gt;2.8),"B+",AND(AL21&lt;=2.8,AL21&gt;2.4),"B",AND(AL21&lt;=2.4,AL21&gt;2),"C+",AND(AL21&lt;=2,AL21&gt;1.6),"C",AL21=1.6,"D",TRUE,"NG")</f>
        <v>C+</v>
      </c>
      <c r="AN21" s="7">
        <v>36</v>
      </c>
      <c r="AO21" s="7" cm="1">
        <f t="array" ref="AO21">_xlfn.IFS(AN21/75*100&gt;=90,4,AN21/75*100&gt;=80,3.6,AN21/75*100&gt;=70,3.2,AN21/75*100&gt;=60,2.8,AN21/75*100&gt;=50,2.4,AN21/75*100&gt;=40,2,AN21/75*100&gt;=35,1.6,TRUE, 0)</f>
        <v>2</v>
      </c>
      <c r="AP21" s="7" t="str" cm="1">
        <f t="array" ref="AP21">_xlfn.IFS(AO21=4,"A+",AO21=3.6,"A",AO21=3.2,"B+",AO21=2.8,"B",AO21=2.4,"C+",AO21=2,"C",AO21=1.6,"D",TRUE,"NG")</f>
        <v>C</v>
      </c>
      <c r="AQ21" s="7" cm="1">
        <f t="array" ref="AQ21">_xlfn.IFS(AN21&gt;=70,25,AN21&gt;=60,24,AN21&gt;=50,23,AN21&gt;=40,22,AN21&gt;=30,21,TRUE,20)</f>
        <v>21</v>
      </c>
      <c r="AR21" s="7" cm="1">
        <f t="array" ref="AR21">_xlfn.IFS(AQ21/25*100&gt;=90,4,AQ21/25*100&gt;=80,3.6,AQ21/25*100&gt;=70,3.2,AQ21/25*100&gt;=60,2.8,AQ21/25*100&gt;=50,2.4,AQ21/25*100&gt;=40,2,AQ21/25*100&gt;=35,1.6,TRUE, 0)</f>
        <v>3.6</v>
      </c>
      <c r="AS21" s="7" t="str" cm="1">
        <f t="array" ref="AS21">_xlfn.IFS(AR21=4,"A+",AR21=3.6,"A",AR21=3.2,"B+",AR21=2.8,"B",AR21=2.4,"C+",AR21=2,"C",AR21=1.6,"D",TRUE,"NG")</f>
        <v>A</v>
      </c>
      <c r="AT21" s="7">
        <f t="shared" si="4"/>
        <v>2.4</v>
      </c>
      <c r="AU21" s="7" t="str" cm="1">
        <f t="array" ref="AU21">_xlfn.IFS(AND(AT21&lt;=4,AT21&gt;3.6),"A+",AND(AT21&lt;=3.6,AT21&gt;3.2),"A",AND(AT21&lt;=3.2,AT21&gt;2.8),"B+",AND(AT21&lt;=2.8,AT21&gt;2.4),"B",AND(AT21&lt;=2.4,AT21&gt;2),"C+",AND(AT21&lt;=2,AT21&gt;1.6),"C",AT21=1.6,"D",TRUE,"NG")</f>
        <v>C+</v>
      </c>
      <c r="AV21" s="7">
        <v>28</v>
      </c>
      <c r="AW21" s="7" cm="1">
        <f t="array" ref="AW21">IF(E21="BS",(_xlfn.IFS(AV21/75*100&gt;=90,4,AV21/75*100&gt;=80,3.6,AV21/75*100&gt;=70,3.2,AV21/75*100&gt;=60,2.8,AV21/75*100&gt;=50,2.4,AV21/75*100&gt;=40,2,AV21/75*100&gt;=35,1.6,TRUE, 0)),(_xlfn.IFS(AV21/50*100&gt;=90,4,AV21/50*100&gt;=80,3.6,AV21/50*100&gt;=70,3.2,AV21/50*100&gt;=60,2.8,AV21/50*100&gt;=50,2.4,AV21/50*100&gt;=40,2,AV21/50*100&gt;=35,1.6,TRUE, 0)))</f>
        <v>2.4</v>
      </c>
      <c r="AX21" s="7" t="str" cm="1">
        <f t="array" ref="AX21">_xlfn.IFS(AW21="-","-",AW21=4,"A+",AW21=3.6,"A",AW21=3.2,"B+",AW21=2.8,"B",AW21=2.4,"C+",AW21=2,"C",AW21=1.6,"D",TRUE,"NG")</f>
        <v>C+</v>
      </c>
      <c r="AY21" s="7" cm="1">
        <f t="array" ref="AY21">IF(E21="BS",(_xlfn.IFS(AV21&gt;=70,25,AV21&gt;=60,24,AV21&gt;=50,23,AV21&gt;=40,22,AV21&gt;=30,21,TRUE,20)),(_xlfn.IFS(AV21&gt;=45,48,AV21&gt;=40,46,AV21&gt;=35,44,AV21&gt;=30,40,AV21&gt;=25,38,TRUE,20)))</f>
        <v>38</v>
      </c>
      <c r="AZ21" s="7" cm="1">
        <f t="array" ref="AZ21">IF(E21="BS",(_xlfn.IFS(AY21/25*100&gt;=90,4,AY21/25*100&gt;=80,3.6,AY21/25*100&gt;=70,3.2,AY21/25*100&gt;=60,2.8,AY21/25*100&gt;=50,2.4,AY21/25*100&gt;=40,2,AY21/25*100&gt;=35,1.6,TRUE, 0)),(_xlfn.IFS(AY21/50*100&gt;=90,4,AY21/50*100&gt;=80,3.6,AY21/50*100&gt;=70,3.2,AY21/50*100&gt;=60,2.8,AY21/50*100&gt;=50,2.4,AY21/50*100&gt;=40,2,AY21/50*100&gt;=35,1.6,TRUE, 0)))</f>
        <v>3.2</v>
      </c>
      <c r="BA21" s="7" t="str" cm="1">
        <f t="array" ref="BA21">_xlfn.IFS(AZ21="-","-",AZ21=4,"A+",AZ21=3.6,"A",AZ21=3.2,"B+",AZ21=2.8,"B",AZ21=2.4,"C+",AZ21=2,"C",AZ21=1.6,"D",TRUE,"NG")</f>
        <v>B+</v>
      </c>
      <c r="BB21" s="7">
        <f>IF(E21="BS",(AW21*3.75+AZ21*1.25)/5,(AW21*2.5+AZ21*2.5)/5)</f>
        <v>2.8</v>
      </c>
      <c r="BC21" s="7" t="str" cm="1">
        <f t="array" ref="BC21">_xlfn.IFS(BB21="-","-",AND(BB21&lt;=4,BB21&gt;3.6),"A+",AND(BB21&lt;=3.6,BB21&gt;3.2),"A",AND(BB21&lt;=3.2,BB21&gt;2.8),"B+",AND(BB21&lt;=2.8,BB21&gt;2.4),"B",AND(BB21&lt;=2.4,BB21&gt;2),"C+",AND(BB21&lt;=2,BB21&gt;1.6),"C",BB21=1.6,"D",TRUE,"NG")</f>
        <v>B</v>
      </c>
      <c r="BD21" s="12">
        <f>IF(E21="BS",(((I21*3+L21*1)+(Q21*2.25+T21*0.75)+(Y21*3.75+AB21*1.25)+(AG21*3.75+AJ21*1.25)+(AO21*3.75+AR21*1.25)+(AW21*3.75+AZ21*1.25))/(4+3+5*4)),(((I21*3+L21*1)+(Q21*2.25+T21*0.75)+(Y21*3.75+AB21*1.25)+(AG21*3.75+AJ21*1.25)+(AO21*3.75+AR21*1.25)+(AW21*2.5+AZ21*2.5))/(4+3+5*4)))</f>
        <v>2.4629629629629628</v>
      </c>
    </row>
    <row r="22" spans="1:56" x14ac:dyDescent="0.3">
      <c r="A22" s="2">
        <v>25</v>
      </c>
      <c r="B22" s="16">
        <v>793270280062</v>
      </c>
      <c r="C22" s="17">
        <v>12706913</v>
      </c>
      <c r="D22" s="3" t="s">
        <v>284</v>
      </c>
      <c r="E22" s="7" t="s">
        <v>80</v>
      </c>
      <c r="F22" s="20" t="s">
        <v>357</v>
      </c>
      <c r="G22" s="3" t="s">
        <v>322</v>
      </c>
      <c r="H22" s="7">
        <v>36</v>
      </c>
      <c r="I22" s="7" cm="1">
        <f t="array" ref="I22">_xlfn.IFS(H22/75*100&gt;=90,4,H22/75*100&gt;=80,3.6,H22/75*100&gt;=70,3.2,H22/75*100&gt;=60,2.8,H22/75*100&gt;=50,2.4,H22/75*100&gt;=40,2,H22/75*100&gt;=35,1.6,TRUE, 0)</f>
        <v>2</v>
      </c>
      <c r="J22" s="7" t="str" cm="1">
        <f t="array" ref="J22">_xlfn.IFS(I22=4,"A+",I22=3.6,"A",I22=3.2,"B+",I22=2.8,"B",I22=2.4,"C+",I22=2,"C",I22=1.6,"D",TRUE,"NG")</f>
        <v>C</v>
      </c>
      <c r="K22" s="7" cm="1">
        <f t="array" ref="K22">_xlfn.IFS(H22&gt;=70,25,H22&gt;=60,24,H22&gt;=50,23,H22&gt;=40,22,H22&gt;=30,21,TRUE,20)</f>
        <v>21</v>
      </c>
      <c r="L22" s="7" cm="1">
        <f t="array" ref="L22">_xlfn.IFS(K22/25*100&gt;=90,4,K22/25*100&gt;=80,3.6,K22/25*100&gt;=70,3.2,K22/25*100&gt;=60,2.8,K22/25*100&gt;=50,2.4,K22/25*100&gt;=40,2,K22/25*100&gt;=35,1.6,TRUE, 0)</f>
        <v>3.6</v>
      </c>
      <c r="M22" s="7" t="str" cm="1">
        <f t="array" ref="M22">_xlfn.IFS(L22=4,"A+",L22=3.6,"A",L22=3.2,"B+",L22=2.8,"B",L22=2.4,"C+",L22=2,"C",L22=1.6,"D",TRUE,"NG")</f>
        <v>A</v>
      </c>
      <c r="N22" s="7">
        <f t="shared" si="0"/>
        <v>2.4</v>
      </c>
      <c r="O22" s="7" t="str" cm="1">
        <f t="array" ref="O22">_xlfn.IFS(AND(N22&lt;=4,N22&gt;3.6),"A+",AND(N22&lt;=3.6,N22&gt;3.2),"A",AND(N22&lt;=3.2,N22&gt;2.8),"B+",AND(N22&lt;=2.8,N22&gt;2.4),"B",AND(N22&lt;=2.4,N22&gt;2),"C+",AND(N22&lt;=2,N22&gt;1.6),"C",N22=1.6,"D",TRUE,"NG")</f>
        <v>C+</v>
      </c>
      <c r="P22" s="7">
        <v>36</v>
      </c>
      <c r="Q22" s="7" cm="1">
        <f t="array" ref="Q22">_xlfn.IFS(P22/75*100&gt;=90,4,P22/75*100&gt;=80,3.6,P22/75*100&gt;=70,3.2,P22/75*100&gt;=60,2.8,P22/75*100&gt;=50,2.4,P22/75*100&gt;=40,2,P22/75*100&gt;=35,1.6,TRUE, 0)</f>
        <v>2</v>
      </c>
      <c r="R22" s="7" t="str" cm="1">
        <f t="array" ref="R22">_xlfn.IFS(Q22=4,"A+",Q22=3.6,"A",Q22=3.2,"B+",Q22=2.8,"B",Q22=2.4,"C+",Q22=2,"C",Q22=1.6,"D",TRUE,"NG")</f>
        <v>C</v>
      </c>
      <c r="S22" s="7" cm="1">
        <f t="array" ref="S22">_xlfn.IFS(P22&gt;=70,25,P22&gt;=60,24,P22&gt;=50,23,P22&gt;=40,22,P22&gt;=30,21,TRUE,20)</f>
        <v>21</v>
      </c>
      <c r="T22" s="7" cm="1">
        <f t="array" ref="T22">_xlfn.IFS(S22/25*100&gt;=90,4,S22/25*100&gt;=80,3.6,S22/25*100&gt;=70,3.2,S22/25*100&gt;=60,2.8,S22/25*100&gt;=50,2.4,S22/25*100&gt;=40,2,S22/25*100&gt;=35,1.6,TRUE, 0)</f>
        <v>3.6</v>
      </c>
      <c r="U22" s="7" t="str" cm="1">
        <f t="array" ref="U22">_xlfn.IFS(T22=4,"A+",T22=3.6,"A",T22=3.2,"B+",T22=2.8,"B",T22=2.4,"C+",T22=2,"C",T22=1.6,"D",TRUE,"NG")</f>
        <v>A</v>
      </c>
      <c r="V22" s="7">
        <f t="shared" si="1"/>
        <v>2.4</v>
      </c>
      <c r="W22" s="7" t="str" cm="1">
        <f t="array" ref="W22">_xlfn.IFS(AND(V22&lt;=4,V22&gt;3.6),"A+",AND(V22&lt;=3.6,V22&gt;3.2),"A",AND(V22&lt;=3.2,V22&gt;2.8),"B+",AND(V22&lt;=2.8,V22&gt;2.4),"B",AND(V22&lt;=2.4,V22&gt;2),"C+",AND(V22&lt;=2,V22&gt;1.6),"C",V22=1.6,"D",TRUE,"NG")</f>
        <v>C+</v>
      </c>
      <c r="X22" s="7">
        <v>32</v>
      </c>
      <c r="Y22" s="7" cm="1">
        <f t="array" ref="Y22">_xlfn.IFS(X22/75*100&gt;=90,4,X22/75*100&gt;=80,3.6,X22/75*100&gt;=70,3.2,X22/75*100&gt;=60,2.8,X22/75*100&gt;=50,2.4,X22/75*100&gt;=40,2,X22/75*100&gt;=35,1.6,TRUE, 0)</f>
        <v>2</v>
      </c>
      <c r="Z22" s="7" t="str" cm="1">
        <f t="array" ref="Z22">_xlfn.IFS(Y22=4,"A+",Y22=3.6,"A",Y22=3.2,"B+",Y22=2.8,"B",Y22=2.4,"C+",Y22=2,"C",Y22=1.6,"D",TRUE,"NG")</f>
        <v>C</v>
      </c>
      <c r="AA22" s="7" cm="1">
        <f t="array" ref="AA22">_xlfn.IFS(X22&gt;=70,25,X22&gt;=60,24,X22&gt;=50,23,X22&gt;=40,22,X22&gt;=30,21,TRUE,20)</f>
        <v>21</v>
      </c>
      <c r="AB22" s="7" cm="1">
        <f t="array" ref="AB22">_xlfn.IFS(AA22/25*100&gt;=90,4,AA22/25*100&gt;=80,3.6,AA22/25*100&gt;=70,3.2,AA22/25*100&gt;=60,2.8,AA22/25*100&gt;=50,2.4,AA22/25*100&gt;=40,2,AA22/25*100&gt;=35,1.6,TRUE, 0)</f>
        <v>3.6</v>
      </c>
      <c r="AC22" s="7" t="str" cm="1">
        <f t="array" ref="AC22">_xlfn.IFS(AB22=4,"A+",AB22=3.6,"A",AB22=3.2,"B+",AB22=2.8,"B",AB22=2.4,"C+",AB22=2,"C",AB22=1.6,"D",TRUE,"NG")</f>
        <v>A</v>
      </c>
      <c r="AD22" s="7">
        <f t="shared" si="2"/>
        <v>2.4</v>
      </c>
      <c r="AE22" s="7" t="str" cm="1">
        <f t="array" ref="AE22">_xlfn.IFS(AND(AD22&lt;=4,AD22&gt;3.6),"A+",AND(AD22&lt;=3.6,AD22&gt;3.2),"A",AND(AD22&lt;=3.2,AD22&gt;2.8),"B+",AND(AD22&lt;=2.8,AD22&gt;2.4),"B",AND(AD22&lt;=2.4,AD22&gt;2),"C+",AND(AD22&lt;=2,AD22&gt;1.6),"C",AD22=1.6,"D",TRUE,"NG")</f>
        <v>C+</v>
      </c>
      <c r="AF22" s="7">
        <v>31</v>
      </c>
      <c r="AG22" s="7" cm="1">
        <f t="array" ref="AG22">_xlfn.IFS(AF22/75*100&gt;=90,4,AF22/75*100&gt;=80,3.6,AF22/75*100&gt;=70,3.2,AF22/75*100&gt;=60,2.8,AF22/75*100&gt;=50,2.4,AF22/75*100&gt;=40,2,AF22/75*100&gt;=35,1.6,TRUE, 0)</f>
        <v>2</v>
      </c>
      <c r="AH22" s="7" t="str" cm="1">
        <f t="array" ref="AH22">_xlfn.IFS(AG22=4,"A+",AG22=3.6,"A",AG22=3.2,"B+",AG22=2.8,"B",AG22=2.4,"C+",AG22=2,"C",AG22=1.6,"D",TRUE,"NG")</f>
        <v>C</v>
      </c>
      <c r="AI22" s="7" cm="1">
        <f t="array" ref="AI22">_xlfn.IFS(AF22&gt;=70,25,AF22&gt;=60,24,AF22&gt;=50,23,AF22&gt;=40,22,AF22&gt;=30,21,TRUE,20)</f>
        <v>21</v>
      </c>
      <c r="AJ22" s="7" cm="1">
        <f t="array" ref="AJ22">_xlfn.IFS(AI22/25*100&gt;=90,4,AI22/25*100&gt;=80,3.6,AI22/25*100&gt;=70,3.2,AI22/25*100&gt;=60,2.8,AI22/25*100&gt;=50,2.4,AI22/25*100&gt;=40,2,AI22/25*100&gt;=35,1.6,TRUE, 0)</f>
        <v>3.6</v>
      </c>
      <c r="AK22" s="7" t="str" cm="1">
        <f t="array" ref="AK22">_xlfn.IFS(AJ22=4,"A+",AJ22=3.6,"A",AJ22=3.2,"B+",AJ22=2.8,"B",AJ22=2.4,"C+",AJ22=2,"C",AJ22=1.6,"D",TRUE,"NG")</f>
        <v>A</v>
      </c>
      <c r="AL22" s="7">
        <f t="shared" si="3"/>
        <v>2.4</v>
      </c>
      <c r="AM22" s="7" t="str" cm="1">
        <f t="array" ref="AM22">_xlfn.IFS(AND(AL22&lt;=4,AL22&gt;3.6),"A+",AND(AL22&lt;=3.6,AL22&gt;3.2),"A",AND(AL22&lt;=3.2,AL22&gt;2.8),"B+",AND(AL22&lt;=2.8,AL22&gt;2.4),"B",AND(AL22&lt;=2.4,AL22&gt;2),"C+",AND(AL22&lt;=2,AL22&gt;1.6),"C",AL22=1.6,"D",TRUE,"NG")</f>
        <v>C+</v>
      </c>
      <c r="AN22" s="7">
        <v>44</v>
      </c>
      <c r="AO22" s="7" cm="1">
        <f t="array" ref="AO22">_xlfn.IFS(AN22/75*100&gt;=90,4,AN22/75*100&gt;=80,3.6,AN22/75*100&gt;=70,3.2,AN22/75*100&gt;=60,2.8,AN22/75*100&gt;=50,2.4,AN22/75*100&gt;=40,2,AN22/75*100&gt;=35,1.6,TRUE, 0)</f>
        <v>2.4</v>
      </c>
      <c r="AP22" s="7" t="str" cm="1">
        <f t="array" ref="AP22">_xlfn.IFS(AO22=4,"A+",AO22=3.6,"A",AO22=3.2,"B+",AO22=2.8,"B",AO22=2.4,"C+",AO22=2,"C",AO22=1.6,"D",TRUE,"NG")</f>
        <v>C+</v>
      </c>
      <c r="AQ22" s="7" cm="1">
        <f t="array" ref="AQ22">_xlfn.IFS(AN22&gt;=70,25,AN22&gt;=60,24,AN22&gt;=50,23,AN22&gt;=40,22,AN22&gt;=30,21,TRUE,20)</f>
        <v>22</v>
      </c>
      <c r="AR22" s="7" cm="1">
        <f t="array" ref="AR22">_xlfn.IFS(AQ22/25*100&gt;=90,4,AQ22/25*100&gt;=80,3.6,AQ22/25*100&gt;=70,3.2,AQ22/25*100&gt;=60,2.8,AQ22/25*100&gt;=50,2.4,AQ22/25*100&gt;=40,2,AQ22/25*100&gt;=35,1.6,TRUE, 0)</f>
        <v>3.6</v>
      </c>
      <c r="AS22" s="7" t="str" cm="1">
        <f t="array" ref="AS22">_xlfn.IFS(AR22=4,"A+",AR22=3.6,"A",AR22=3.2,"B+",AR22=2.8,"B",AR22=2.4,"C+",AR22=2,"C",AR22=1.6,"D",TRUE,"NG")</f>
        <v>A</v>
      </c>
      <c r="AT22" s="7">
        <f t="shared" si="4"/>
        <v>2.7</v>
      </c>
      <c r="AU22" s="7" t="str" cm="1">
        <f t="array" ref="AU22">_xlfn.IFS(AND(AT22&lt;=4,AT22&gt;3.6),"A+",AND(AT22&lt;=3.6,AT22&gt;3.2),"A",AND(AT22&lt;=3.2,AT22&gt;2.8),"B+",AND(AT22&lt;=2.8,AT22&gt;2.4),"B",AND(AT22&lt;=2.4,AT22&gt;2),"C+",AND(AT22&lt;=2,AT22&gt;1.6),"C",AT22=1.6,"D",TRUE,"NG")</f>
        <v>B</v>
      </c>
      <c r="AV22" s="7">
        <v>25</v>
      </c>
      <c r="AW22" s="7" cm="1">
        <f t="array" ref="AW22">IF(E22="BS",(_xlfn.IFS(AV22/75*100&gt;=90,4,AV22/75*100&gt;=80,3.6,AV22/75*100&gt;=70,3.2,AV22/75*100&gt;=60,2.8,AV22/75*100&gt;=50,2.4,AV22/75*100&gt;=40,2,AV22/75*100&gt;=35,1.6,TRUE, 0)),(_xlfn.IFS(AV22/50*100&gt;=90,4,AV22/50*100&gt;=80,3.6,AV22/50*100&gt;=70,3.2,AV22/50*100&gt;=60,2.8,AV22/50*100&gt;=50,2.4,AV22/50*100&gt;=40,2,AV22/50*100&gt;=35,1.6,TRUE, 0)))</f>
        <v>2.4</v>
      </c>
      <c r="AX22" s="7" t="str" cm="1">
        <f t="array" ref="AX22">_xlfn.IFS(AW22="-","-",AW22=4,"A+",AW22=3.6,"A",AW22=3.2,"B+",AW22=2.8,"B",AW22=2.4,"C+",AW22=2,"C",AW22=1.6,"D",TRUE,"NG")</f>
        <v>C+</v>
      </c>
      <c r="AY22" s="7" cm="1">
        <f t="array" ref="AY22">IF(E22="BS",(_xlfn.IFS(AV22&gt;=70,25,AV22&gt;=60,24,AV22&gt;=50,23,AV22&gt;=40,22,AV22&gt;=30,21,TRUE,20)),(_xlfn.IFS(AV22&gt;=45,48,AV22&gt;=40,46,AV22&gt;=35,44,AV22&gt;=30,40,AV22&gt;=25,38,TRUE,20)))</f>
        <v>38</v>
      </c>
      <c r="AZ22" s="7" cm="1">
        <f t="array" ref="AZ22">IF(E22="BS",(_xlfn.IFS(AY22/25*100&gt;=90,4,AY22/25*100&gt;=80,3.6,AY22/25*100&gt;=70,3.2,AY22/25*100&gt;=60,2.8,AY22/25*100&gt;=50,2.4,AY22/25*100&gt;=40,2,AY22/25*100&gt;=35,1.6,TRUE, 0)),(_xlfn.IFS(AY22/50*100&gt;=90,4,AY22/50*100&gt;=80,3.6,AY22/50*100&gt;=70,3.2,AY22/50*100&gt;=60,2.8,AY22/50*100&gt;=50,2.4,AY22/50*100&gt;=40,2,AY22/50*100&gt;=35,1.6,TRUE, 0)))</f>
        <v>3.2</v>
      </c>
      <c r="BA22" s="7" t="str" cm="1">
        <f t="array" ref="BA22">_xlfn.IFS(AZ22="-","-",AZ22=4,"A+",AZ22=3.6,"A",AZ22=3.2,"B+",AZ22=2.8,"B",AZ22=2.4,"C+",AZ22=2,"C",AZ22=1.6,"D",TRUE,"NG")</f>
        <v>B+</v>
      </c>
      <c r="BB22" s="7">
        <f>IF(E22="BS",(AW22*3.75+AZ22*1.25)/5,(AW22*2.5+AZ22*2.5)/5)</f>
        <v>2.8</v>
      </c>
      <c r="BC22" s="7" t="str" cm="1">
        <f t="array" ref="BC22">_xlfn.IFS(BB22="-","-",AND(BB22&lt;=4,BB22&gt;3.6),"A+",AND(BB22&lt;=3.6,BB22&gt;3.2),"A",AND(BB22&lt;=3.2,BB22&gt;2.8),"B+",AND(BB22&lt;=2.8,BB22&gt;2.4),"B",AND(BB22&lt;=2.4,BB22&gt;2),"C+",AND(BB22&lt;=2,BB22&gt;1.6),"C",BB22=1.6,"D",TRUE,"NG")</f>
        <v>B</v>
      </c>
      <c r="BD22" s="12">
        <f>IF(E22="BS",(((I22*3+L22*1)+(Q22*2.25+T22*0.75)+(Y22*3.75+AB22*1.25)+(AG22*3.75+AJ22*1.25)+(AO22*3.75+AR22*1.25)+(AW22*3.75+AZ22*1.25))/(4+3+5*4)),(((I22*3+L22*1)+(Q22*2.25+T22*0.75)+(Y22*3.75+AB22*1.25)+(AG22*3.75+AJ22*1.25)+(AO22*3.75+AR22*1.25)+(AW22*2.5+AZ22*2.5))/(4+3+5*4)))</f>
        <v>2.5296296296296297</v>
      </c>
    </row>
    <row r="23" spans="1:56" x14ac:dyDescent="0.3">
      <c r="A23" s="2">
        <v>26</v>
      </c>
      <c r="B23" s="16">
        <v>793270280073</v>
      </c>
      <c r="C23" s="17">
        <v>12706924</v>
      </c>
      <c r="D23" s="3" t="s">
        <v>285</v>
      </c>
      <c r="E23" s="7" t="s">
        <v>80</v>
      </c>
      <c r="F23" s="20" t="s">
        <v>358</v>
      </c>
      <c r="G23" s="3" t="s">
        <v>323</v>
      </c>
      <c r="H23" s="7">
        <v>39</v>
      </c>
      <c r="I23" s="7" cm="1">
        <f t="array" ref="I23">_xlfn.IFS(H23/75*100&gt;=90,4,H23/75*100&gt;=80,3.6,H23/75*100&gt;=70,3.2,H23/75*100&gt;=60,2.8,H23/75*100&gt;=50,2.4,H23/75*100&gt;=40,2,H23/75*100&gt;=35,1.6,TRUE, 0)</f>
        <v>2.4</v>
      </c>
      <c r="J23" s="7" t="str" cm="1">
        <f t="array" ref="J23">_xlfn.IFS(I23=4,"A+",I23=3.6,"A",I23=3.2,"B+",I23=2.8,"B",I23=2.4,"C+",I23=2,"C",I23=1.6,"D",TRUE,"NG")</f>
        <v>C+</v>
      </c>
      <c r="K23" s="7" cm="1">
        <f t="array" ref="K23">_xlfn.IFS(H23&gt;=70,25,H23&gt;=60,24,H23&gt;=50,23,H23&gt;=40,22,H23&gt;=30,21,TRUE,20)</f>
        <v>21</v>
      </c>
      <c r="L23" s="7" cm="1">
        <f t="array" ref="L23">_xlfn.IFS(K23/25*100&gt;=90,4,K23/25*100&gt;=80,3.6,K23/25*100&gt;=70,3.2,K23/25*100&gt;=60,2.8,K23/25*100&gt;=50,2.4,K23/25*100&gt;=40,2,K23/25*100&gt;=35,1.6,TRUE, 0)</f>
        <v>3.6</v>
      </c>
      <c r="M23" s="7" t="str" cm="1">
        <f t="array" ref="M23">_xlfn.IFS(L23=4,"A+",L23=3.6,"A",L23=3.2,"B+",L23=2.8,"B",L23=2.4,"C+",L23=2,"C",L23=1.6,"D",TRUE,"NG")</f>
        <v>A</v>
      </c>
      <c r="N23" s="7">
        <f t="shared" si="0"/>
        <v>2.6999999999999997</v>
      </c>
      <c r="O23" s="7" t="str" cm="1">
        <f t="array" ref="O23">_xlfn.IFS(AND(N23&lt;=4,N23&gt;3.6),"A+",AND(N23&lt;=3.6,N23&gt;3.2),"A",AND(N23&lt;=3.2,N23&gt;2.8),"B+",AND(N23&lt;=2.8,N23&gt;2.4),"B",AND(N23&lt;=2.4,N23&gt;2),"C+",AND(N23&lt;=2,N23&gt;1.6),"C",N23=1.6,"D",TRUE,"NG")</f>
        <v>B</v>
      </c>
      <c r="P23" s="7">
        <v>37</v>
      </c>
      <c r="Q23" s="7" cm="1">
        <f t="array" ref="Q23">_xlfn.IFS(P23/75*100&gt;=90,4,P23/75*100&gt;=80,3.6,P23/75*100&gt;=70,3.2,P23/75*100&gt;=60,2.8,P23/75*100&gt;=50,2.4,P23/75*100&gt;=40,2,P23/75*100&gt;=35,1.6,TRUE, 0)</f>
        <v>2</v>
      </c>
      <c r="R23" s="7" t="str" cm="1">
        <f t="array" ref="R23">_xlfn.IFS(Q23=4,"A+",Q23=3.6,"A",Q23=3.2,"B+",Q23=2.8,"B",Q23=2.4,"C+",Q23=2,"C",Q23=1.6,"D",TRUE,"NG")</f>
        <v>C</v>
      </c>
      <c r="S23" s="7" cm="1">
        <f t="array" ref="S23">_xlfn.IFS(P23&gt;=70,25,P23&gt;=60,24,P23&gt;=50,23,P23&gt;=40,22,P23&gt;=30,21,TRUE,20)</f>
        <v>21</v>
      </c>
      <c r="T23" s="7" cm="1">
        <f t="array" ref="T23">_xlfn.IFS(S23/25*100&gt;=90,4,S23/25*100&gt;=80,3.6,S23/25*100&gt;=70,3.2,S23/25*100&gt;=60,2.8,S23/25*100&gt;=50,2.4,S23/25*100&gt;=40,2,S23/25*100&gt;=35,1.6,TRUE, 0)</f>
        <v>3.6</v>
      </c>
      <c r="U23" s="7" t="str" cm="1">
        <f t="array" ref="U23">_xlfn.IFS(T23=4,"A+",T23=3.6,"A",T23=3.2,"B+",T23=2.8,"B",T23=2.4,"C+",T23=2,"C",T23=1.6,"D",TRUE,"NG")</f>
        <v>A</v>
      </c>
      <c r="V23" s="7">
        <f t="shared" si="1"/>
        <v>2.4</v>
      </c>
      <c r="W23" s="7" t="str" cm="1">
        <f t="array" ref="W23">_xlfn.IFS(AND(V23&lt;=4,V23&gt;3.6),"A+",AND(V23&lt;=3.6,V23&gt;3.2),"A",AND(V23&lt;=3.2,V23&gt;2.8),"B+",AND(V23&lt;=2.8,V23&gt;2.4),"B",AND(V23&lt;=2.4,V23&gt;2),"C+",AND(V23&lt;=2,V23&gt;1.6),"C",V23=1.6,"D",TRUE,"NG")</f>
        <v>C+</v>
      </c>
      <c r="X23" s="7">
        <v>33</v>
      </c>
      <c r="Y23" s="7" cm="1">
        <f t="array" ref="Y23">_xlfn.IFS(X23/75*100&gt;=90,4,X23/75*100&gt;=80,3.6,X23/75*100&gt;=70,3.2,X23/75*100&gt;=60,2.8,X23/75*100&gt;=50,2.4,X23/75*100&gt;=40,2,X23/75*100&gt;=35,1.6,TRUE, 0)</f>
        <v>2</v>
      </c>
      <c r="Z23" s="7" t="str" cm="1">
        <f t="array" ref="Z23">_xlfn.IFS(Y23=4,"A+",Y23=3.6,"A",Y23=3.2,"B+",Y23=2.8,"B",Y23=2.4,"C+",Y23=2,"C",Y23=1.6,"D",TRUE,"NG")</f>
        <v>C</v>
      </c>
      <c r="AA23" s="7" cm="1">
        <f t="array" ref="AA23">_xlfn.IFS(X23&gt;=70,25,X23&gt;=60,24,X23&gt;=50,23,X23&gt;=40,22,X23&gt;=30,21,TRUE,20)</f>
        <v>21</v>
      </c>
      <c r="AB23" s="7" cm="1">
        <f t="array" ref="AB23">_xlfn.IFS(AA23/25*100&gt;=90,4,AA23/25*100&gt;=80,3.6,AA23/25*100&gt;=70,3.2,AA23/25*100&gt;=60,2.8,AA23/25*100&gt;=50,2.4,AA23/25*100&gt;=40,2,AA23/25*100&gt;=35,1.6,TRUE, 0)</f>
        <v>3.6</v>
      </c>
      <c r="AC23" s="7" t="str" cm="1">
        <f t="array" ref="AC23">_xlfn.IFS(AB23=4,"A+",AB23=3.6,"A",AB23=3.2,"B+",AB23=2.8,"B",AB23=2.4,"C+",AB23=2,"C",AB23=1.6,"D",TRUE,"NG")</f>
        <v>A</v>
      </c>
      <c r="AD23" s="7">
        <f t="shared" si="2"/>
        <v>2.4</v>
      </c>
      <c r="AE23" s="7" t="str" cm="1">
        <f t="array" ref="AE23">_xlfn.IFS(AND(AD23&lt;=4,AD23&gt;3.6),"A+",AND(AD23&lt;=3.6,AD23&gt;3.2),"A",AND(AD23&lt;=3.2,AD23&gt;2.8),"B+",AND(AD23&lt;=2.8,AD23&gt;2.4),"B",AND(AD23&lt;=2.4,AD23&gt;2),"C+",AND(AD23&lt;=2,AD23&gt;1.6),"C",AD23=1.6,"D",TRUE,"NG")</f>
        <v>C+</v>
      </c>
      <c r="AF23" s="7">
        <v>32</v>
      </c>
      <c r="AG23" s="7" cm="1">
        <f t="array" ref="AG23">_xlfn.IFS(AF23/75*100&gt;=90,4,AF23/75*100&gt;=80,3.6,AF23/75*100&gt;=70,3.2,AF23/75*100&gt;=60,2.8,AF23/75*100&gt;=50,2.4,AF23/75*100&gt;=40,2,AF23/75*100&gt;=35,1.6,TRUE, 0)</f>
        <v>2</v>
      </c>
      <c r="AH23" s="7" t="str" cm="1">
        <f t="array" ref="AH23">_xlfn.IFS(AG23=4,"A+",AG23=3.6,"A",AG23=3.2,"B+",AG23=2.8,"B",AG23=2.4,"C+",AG23=2,"C",AG23=1.6,"D",TRUE,"NG")</f>
        <v>C</v>
      </c>
      <c r="AI23" s="7" cm="1">
        <f t="array" ref="AI23">_xlfn.IFS(AF23&gt;=70,25,AF23&gt;=60,24,AF23&gt;=50,23,AF23&gt;=40,22,AF23&gt;=30,21,TRUE,20)</f>
        <v>21</v>
      </c>
      <c r="AJ23" s="7" cm="1">
        <f t="array" ref="AJ23">_xlfn.IFS(AI23/25*100&gt;=90,4,AI23/25*100&gt;=80,3.6,AI23/25*100&gt;=70,3.2,AI23/25*100&gt;=60,2.8,AI23/25*100&gt;=50,2.4,AI23/25*100&gt;=40,2,AI23/25*100&gt;=35,1.6,TRUE, 0)</f>
        <v>3.6</v>
      </c>
      <c r="AK23" s="7" t="str" cm="1">
        <f t="array" ref="AK23">_xlfn.IFS(AJ23=4,"A+",AJ23=3.6,"A",AJ23=3.2,"B+",AJ23=2.8,"B",AJ23=2.4,"C+",AJ23=2,"C",AJ23=1.6,"D",TRUE,"NG")</f>
        <v>A</v>
      </c>
      <c r="AL23" s="7">
        <f t="shared" si="3"/>
        <v>2.4</v>
      </c>
      <c r="AM23" s="7" t="str" cm="1">
        <f t="array" ref="AM23">_xlfn.IFS(AND(AL23&lt;=4,AL23&gt;3.6),"A+",AND(AL23&lt;=3.6,AL23&gt;3.2),"A",AND(AL23&lt;=3.2,AL23&gt;2.8),"B+",AND(AL23&lt;=2.8,AL23&gt;2.4),"B",AND(AL23&lt;=2.4,AL23&gt;2),"C+",AND(AL23&lt;=2,AL23&gt;1.6),"C",AL23=1.6,"D",TRUE,"NG")</f>
        <v>C+</v>
      </c>
      <c r="AN23" s="7">
        <v>46</v>
      </c>
      <c r="AO23" s="7" cm="1">
        <f t="array" ref="AO23">_xlfn.IFS(AN23/75*100&gt;=90,4,AN23/75*100&gt;=80,3.6,AN23/75*100&gt;=70,3.2,AN23/75*100&gt;=60,2.8,AN23/75*100&gt;=50,2.4,AN23/75*100&gt;=40,2,AN23/75*100&gt;=35,1.6,TRUE, 0)</f>
        <v>2.8</v>
      </c>
      <c r="AP23" s="7" t="str" cm="1">
        <f t="array" ref="AP23">_xlfn.IFS(AO23=4,"A+",AO23=3.6,"A",AO23=3.2,"B+",AO23=2.8,"B",AO23=2.4,"C+",AO23=2,"C",AO23=1.6,"D",TRUE,"NG")</f>
        <v>B</v>
      </c>
      <c r="AQ23" s="7" cm="1">
        <f t="array" ref="AQ23">_xlfn.IFS(AN23&gt;=70,25,AN23&gt;=60,24,AN23&gt;=50,23,AN23&gt;=40,22,AN23&gt;=30,21,TRUE,20)</f>
        <v>22</v>
      </c>
      <c r="AR23" s="7" cm="1">
        <f t="array" ref="AR23">_xlfn.IFS(AQ23/25*100&gt;=90,4,AQ23/25*100&gt;=80,3.6,AQ23/25*100&gt;=70,3.2,AQ23/25*100&gt;=60,2.8,AQ23/25*100&gt;=50,2.4,AQ23/25*100&gt;=40,2,AQ23/25*100&gt;=35,1.6,TRUE, 0)</f>
        <v>3.6</v>
      </c>
      <c r="AS23" s="7" t="str" cm="1">
        <f t="array" ref="AS23">_xlfn.IFS(AR23=4,"A+",AR23=3.6,"A",AR23=3.2,"B+",AR23=2.8,"B",AR23=2.4,"C+",AR23=2,"C",AR23=1.6,"D",TRUE,"NG")</f>
        <v>A</v>
      </c>
      <c r="AT23" s="7">
        <f t="shared" si="4"/>
        <v>3</v>
      </c>
      <c r="AU23" s="7" t="str" cm="1">
        <f t="array" ref="AU23">_xlfn.IFS(AND(AT23&lt;=4,AT23&gt;3.6),"A+",AND(AT23&lt;=3.6,AT23&gt;3.2),"A",AND(AT23&lt;=3.2,AT23&gt;2.8),"B+",AND(AT23&lt;=2.8,AT23&gt;2.4),"B",AND(AT23&lt;=2.4,AT23&gt;2),"C+",AND(AT23&lt;=2,AT23&gt;1.6),"C",AT23=1.6,"D",TRUE,"NG")</f>
        <v>B+</v>
      </c>
      <c r="AV23" s="7">
        <v>40</v>
      </c>
      <c r="AW23" s="7" cm="1">
        <f t="array" ref="AW23">IF(E23="BS",(_xlfn.IFS(AV23/75*100&gt;=90,4,AV23/75*100&gt;=80,3.6,AV23/75*100&gt;=70,3.2,AV23/75*100&gt;=60,2.8,AV23/75*100&gt;=50,2.4,AV23/75*100&gt;=40,2,AV23/75*100&gt;=35,1.6,TRUE, 0)),(_xlfn.IFS(AV23/50*100&gt;=90,4,AV23/50*100&gt;=80,3.6,AV23/50*100&gt;=70,3.2,AV23/50*100&gt;=60,2.8,AV23/50*100&gt;=50,2.4,AV23/50*100&gt;=40,2,AV23/50*100&gt;=35,1.6,TRUE, 0)))</f>
        <v>3.6</v>
      </c>
      <c r="AX23" s="7" t="str" cm="1">
        <f t="array" ref="AX23">_xlfn.IFS(AW23="-","-",AW23=4,"A+",AW23=3.6,"A",AW23=3.2,"B+",AW23=2.8,"B",AW23=2.4,"C+",AW23=2,"C",AW23=1.6,"D",TRUE,"NG")</f>
        <v>A</v>
      </c>
      <c r="AY23" s="7" cm="1">
        <f t="array" ref="AY23">IF(E23="BS",(_xlfn.IFS(AV23&gt;=70,25,AV23&gt;=60,24,AV23&gt;=50,23,AV23&gt;=40,22,AV23&gt;=30,21,TRUE,20)),(_xlfn.IFS(AV23&gt;=45,48,AV23&gt;=40,46,AV23&gt;=35,44,AV23&gt;=30,40,AV23&gt;=25,38,TRUE,20)))</f>
        <v>46</v>
      </c>
      <c r="AZ23" s="7" cm="1">
        <f t="array" ref="AZ23">IF(E23="BS",(_xlfn.IFS(AY23/25*100&gt;=90,4,AY23/25*100&gt;=80,3.6,AY23/25*100&gt;=70,3.2,AY23/25*100&gt;=60,2.8,AY23/25*100&gt;=50,2.4,AY23/25*100&gt;=40,2,AY23/25*100&gt;=35,1.6,TRUE, 0)),(_xlfn.IFS(AY23/50*100&gt;=90,4,AY23/50*100&gt;=80,3.6,AY23/50*100&gt;=70,3.2,AY23/50*100&gt;=60,2.8,AY23/50*100&gt;=50,2.4,AY23/50*100&gt;=40,2,AY23/50*100&gt;=35,1.6,TRUE, 0)))</f>
        <v>4</v>
      </c>
      <c r="BA23" s="7" t="str" cm="1">
        <f t="array" ref="BA23">_xlfn.IFS(AZ23="-","-",AZ23=4,"A+",AZ23=3.6,"A",AZ23=3.2,"B+",AZ23=2.8,"B",AZ23=2.4,"C+",AZ23=2,"C",AZ23=1.6,"D",TRUE,"NG")</f>
        <v>A+</v>
      </c>
      <c r="BB23" s="7">
        <f>IF(E23="BS",(AW23*3.75+AZ23*1.25)/5,(AW23*2.5+AZ23*2.5)/5)</f>
        <v>3.8</v>
      </c>
      <c r="BC23" s="7" t="str" cm="1">
        <f t="array" ref="BC23">_xlfn.IFS(BB23="-","-",AND(BB23&lt;=4,BB23&gt;3.6),"A+",AND(BB23&lt;=3.6,BB23&gt;3.2),"A",AND(BB23&lt;=3.2,BB23&gt;2.8),"B+",AND(BB23&lt;=2.8,BB23&gt;2.4),"B",AND(BB23&lt;=2.4,BB23&gt;2),"C+",AND(BB23&lt;=2,BB23&gt;1.6),"C",BB23=1.6,"D",TRUE,"NG")</f>
        <v>A+</v>
      </c>
      <c r="BD23" s="12">
        <f>IF(E23="BS",(((I23*3+L23*1)+(Q23*2.25+T23*0.75)+(Y23*3.75+AB23*1.25)+(AG23*3.75+AJ23*1.25)+(AO23*3.75+AR23*1.25)+(AW23*3.75+AZ23*1.25))/(4+3+5*4)),(((I23*3+L23*1)+(Q23*2.25+T23*0.75)+(Y23*3.75+AB23*1.25)+(AG23*3.75+AJ23*1.25)+(AO23*3.75+AR23*1.25)+(AW23*2.5+AZ23*2.5))/(4+3+5*4)))</f>
        <v>2.8148148148148149</v>
      </c>
    </row>
    <row r="24" spans="1:56" x14ac:dyDescent="0.3">
      <c r="A24" s="2">
        <v>30</v>
      </c>
      <c r="B24" s="16">
        <v>793270280005</v>
      </c>
      <c r="C24" s="17">
        <v>12706856</v>
      </c>
      <c r="D24" s="3" t="s">
        <v>286</v>
      </c>
      <c r="E24" s="7" t="s">
        <v>80</v>
      </c>
      <c r="F24" s="20" t="s">
        <v>359</v>
      </c>
      <c r="G24" s="3" t="s">
        <v>324</v>
      </c>
      <c r="H24" s="19">
        <v>50</v>
      </c>
      <c r="I24" s="7" cm="1">
        <f t="array" ref="I24">_xlfn.IFS(H24/75*100&gt;=90,4,H24/75*100&gt;=80,3.6,H24/75*100&gt;=70,3.2,H24/75*100&gt;=60,2.8,H24/75*100&gt;=50,2.4,H24/75*100&gt;=40,2,H24/75*100&gt;=35,1.6,TRUE, 0)</f>
        <v>2.8</v>
      </c>
      <c r="J24" s="7" t="str" cm="1">
        <f t="array" ref="J24">_xlfn.IFS(I24=4,"A+",I24=3.6,"A",I24=3.2,"B+",I24=2.8,"B",I24=2.4,"C+",I24=2,"C",I24=1.6,"D",TRUE,"NG")</f>
        <v>B</v>
      </c>
      <c r="K24" s="7" cm="1">
        <f t="array" ref="K24">_xlfn.IFS(H24&gt;=70,25,H24&gt;=60,24,H24&gt;=50,23,H24&gt;=40,22,H24&gt;=30,21,TRUE,20)</f>
        <v>23</v>
      </c>
      <c r="L24" s="7" cm="1">
        <f t="array" ref="L24">_xlfn.IFS(K24/25*100&gt;=90,4,K24/25*100&gt;=80,3.6,K24/25*100&gt;=70,3.2,K24/25*100&gt;=60,2.8,K24/25*100&gt;=50,2.4,K24/25*100&gt;=40,2,K24/25*100&gt;=35,1.6,TRUE, 0)</f>
        <v>4</v>
      </c>
      <c r="M24" s="7" t="str" cm="1">
        <f t="array" ref="M24">_xlfn.IFS(L24=4,"A+",L24=3.6,"A",L24=3.2,"B+",L24=2.8,"B",L24=2.4,"C+",L24=2,"C",L24=1.6,"D",TRUE,"NG")</f>
        <v>A+</v>
      </c>
      <c r="N24" s="7">
        <f t="shared" si="0"/>
        <v>3.0999999999999996</v>
      </c>
      <c r="O24" s="7" t="str" cm="1">
        <f t="array" ref="O24">_xlfn.IFS(AND(N24&lt;=4,N24&gt;3.6),"A+",AND(N24&lt;=3.6,N24&gt;3.2),"A",AND(N24&lt;=3.2,N24&gt;2.8),"B+",AND(N24&lt;=2.8,N24&gt;2.4),"B",AND(N24&lt;=2.4,N24&gt;2),"C+",AND(N24&lt;=2,N24&gt;1.6),"C",N24=1.6,"D",TRUE,"NG")</f>
        <v>B+</v>
      </c>
      <c r="P24" s="7">
        <v>42</v>
      </c>
      <c r="Q24" s="7" cm="1">
        <f t="array" ref="Q24">_xlfn.IFS(P24/75*100&gt;=90,4,P24/75*100&gt;=80,3.6,P24/75*100&gt;=70,3.2,P24/75*100&gt;=60,2.8,P24/75*100&gt;=50,2.4,P24/75*100&gt;=40,2,P24/75*100&gt;=35,1.6,TRUE, 0)</f>
        <v>2.4</v>
      </c>
      <c r="R24" s="7" t="str" cm="1">
        <f t="array" ref="R24">_xlfn.IFS(Q24=4,"A+",Q24=3.6,"A",Q24=3.2,"B+",Q24=2.8,"B",Q24=2.4,"C+",Q24=2,"C",Q24=1.6,"D",TRUE,"NG")</f>
        <v>C+</v>
      </c>
      <c r="S24" s="7" cm="1">
        <f t="array" ref="S24">_xlfn.IFS(P24&gt;=70,25,P24&gt;=60,24,P24&gt;=50,23,P24&gt;=40,22,P24&gt;=30,21,TRUE,20)</f>
        <v>22</v>
      </c>
      <c r="T24" s="7" cm="1">
        <f t="array" ref="T24">_xlfn.IFS(S24/25*100&gt;=90,4,S24/25*100&gt;=80,3.6,S24/25*100&gt;=70,3.2,S24/25*100&gt;=60,2.8,S24/25*100&gt;=50,2.4,S24/25*100&gt;=40,2,S24/25*100&gt;=35,1.6,TRUE, 0)</f>
        <v>3.6</v>
      </c>
      <c r="U24" s="7" t="str" cm="1">
        <f t="array" ref="U24">_xlfn.IFS(T24=4,"A+",T24=3.6,"A",T24=3.2,"B+",T24=2.8,"B",T24=2.4,"C+",T24=2,"C",T24=1.6,"D",TRUE,"NG")</f>
        <v>A</v>
      </c>
      <c r="V24" s="7">
        <f t="shared" si="1"/>
        <v>2.6999999999999997</v>
      </c>
      <c r="W24" s="7" t="str" cm="1">
        <f t="array" ref="W24">_xlfn.IFS(AND(V24&lt;=4,V24&gt;3.6),"A+",AND(V24&lt;=3.6,V24&gt;3.2),"A",AND(V24&lt;=3.2,V24&gt;2.8),"B+",AND(V24&lt;=2.8,V24&gt;2.4),"B",AND(V24&lt;=2.4,V24&gt;2),"C+",AND(V24&lt;=2,V24&gt;1.6),"C",V24=1.6,"D",TRUE,"NG")</f>
        <v>B</v>
      </c>
      <c r="X24" s="7">
        <v>60</v>
      </c>
      <c r="Y24" s="7" cm="1">
        <f t="array" ref="Y24">_xlfn.IFS(X24/75*100&gt;=90,4,X24/75*100&gt;=80,3.6,X24/75*100&gt;=70,3.2,X24/75*100&gt;=60,2.8,X24/75*100&gt;=50,2.4,X24/75*100&gt;=40,2,X24/75*100&gt;=35,1.6,TRUE, 0)</f>
        <v>3.6</v>
      </c>
      <c r="Z24" s="7" t="str" cm="1">
        <f t="array" ref="Z24">_xlfn.IFS(Y24=4,"A+",Y24=3.6,"A",Y24=3.2,"B+",Y24=2.8,"B",Y24=2.4,"C+",Y24=2,"C",Y24=1.6,"D",TRUE,"NG")</f>
        <v>A</v>
      </c>
      <c r="AA24" s="7" cm="1">
        <f t="array" ref="AA24">_xlfn.IFS(X24&gt;=70,25,X24&gt;=60,24,X24&gt;=50,23,X24&gt;=40,22,X24&gt;=30,21,TRUE,20)</f>
        <v>24</v>
      </c>
      <c r="AB24" s="7" cm="1">
        <f t="array" ref="AB24">_xlfn.IFS(AA24/25*100&gt;=90,4,AA24/25*100&gt;=80,3.6,AA24/25*100&gt;=70,3.2,AA24/25*100&gt;=60,2.8,AA24/25*100&gt;=50,2.4,AA24/25*100&gt;=40,2,AA24/25*100&gt;=35,1.6,TRUE, 0)</f>
        <v>4</v>
      </c>
      <c r="AC24" s="7" t="str" cm="1">
        <f t="array" ref="AC24">_xlfn.IFS(AB24=4,"A+",AB24=3.6,"A",AB24=3.2,"B+",AB24=2.8,"B",AB24=2.4,"C+",AB24=2,"C",AB24=1.6,"D",TRUE,"NG")</f>
        <v>A+</v>
      </c>
      <c r="AD24" s="7">
        <f t="shared" si="2"/>
        <v>3.7</v>
      </c>
      <c r="AE24" s="7" t="str" cm="1">
        <f t="array" ref="AE24">_xlfn.IFS(AND(AD24&lt;=4,AD24&gt;3.6),"A+",AND(AD24&lt;=3.6,AD24&gt;3.2),"A",AND(AD24&lt;=3.2,AD24&gt;2.8),"B+",AND(AD24&lt;=2.8,AD24&gt;2.4),"B",AND(AD24&lt;=2.4,AD24&gt;2),"C+",AND(AD24&lt;=2,AD24&gt;1.6),"C",AD24=1.6,"D",TRUE,"NG")</f>
        <v>A+</v>
      </c>
      <c r="AF24" s="7">
        <v>48</v>
      </c>
      <c r="AG24" s="7" cm="1">
        <f t="array" ref="AG24">_xlfn.IFS(AF24/75*100&gt;=90,4,AF24/75*100&gt;=80,3.6,AF24/75*100&gt;=70,3.2,AF24/75*100&gt;=60,2.8,AF24/75*100&gt;=50,2.4,AF24/75*100&gt;=40,2,AF24/75*100&gt;=35,1.6,TRUE, 0)</f>
        <v>2.8</v>
      </c>
      <c r="AH24" s="7" t="str" cm="1">
        <f t="array" ref="AH24">_xlfn.IFS(AG24=4,"A+",AG24=3.6,"A",AG24=3.2,"B+",AG24=2.8,"B",AG24=2.4,"C+",AG24=2,"C",AG24=1.6,"D",TRUE,"NG")</f>
        <v>B</v>
      </c>
      <c r="AI24" s="7" cm="1">
        <f t="array" ref="AI24">_xlfn.IFS(AF24&gt;=70,25,AF24&gt;=60,24,AF24&gt;=50,23,AF24&gt;=40,22,AF24&gt;=30,21,TRUE,20)</f>
        <v>22</v>
      </c>
      <c r="AJ24" s="7" cm="1">
        <f t="array" ref="AJ24">_xlfn.IFS(AI24/25*100&gt;=90,4,AI24/25*100&gt;=80,3.6,AI24/25*100&gt;=70,3.2,AI24/25*100&gt;=60,2.8,AI24/25*100&gt;=50,2.4,AI24/25*100&gt;=40,2,AI24/25*100&gt;=35,1.6,TRUE, 0)</f>
        <v>3.6</v>
      </c>
      <c r="AK24" s="7" t="str" cm="1">
        <f t="array" ref="AK24">_xlfn.IFS(AJ24=4,"A+",AJ24=3.6,"A",AJ24=3.2,"B+",AJ24=2.8,"B",AJ24=2.4,"C+",AJ24=2,"C",AJ24=1.6,"D",TRUE,"NG")</f>
        <v>A</v>
      </c>
      <c r="AL24" s="7">
        <f t="shared" si="3"/>
        <v>3</v>
      </c>
      <c r="AM24" s="7" t="str" cm="1">
        <f t="array" ref="AM24">_xlfn.IFS(AND(AL24&lt;=4,AL24&gt;3.6),"A+",AND(AL24&lt;=3.6,AL24&gt;3.2),"A",AND(AL24&lt;=3.2,AL24&gt;2.8),"B+",AND(AL24&lt;=2.8,AL24&gt;2.4),"B",AND(AL24&lt;=2.4,AL24&gt;2),"C+",AND(AL24&lt;=2,AL24&gt;1.6),"C",AL24=1.6,"D",TRUE,"NG")</f>
        <v>B+</v>
      </c>
      <c r="AN24" s="19">
        <v>54</v>
      </c>
      <c r="AO24" s="7" cm="1">
        <f t="array" ref="AO24">_xlfn.IFS(AN24/75*100&gt;=90,4,AN24/75*100&gt;=80,3.6,AN24/75*100&gt;=70,3.2,AN24/75*100&gt;=60,2.8,AN24/75*100&gt;=50,2.4,AN24/75*100&gt;=40,2,AN24/75*100&gt;=35,1.6,TRUE, 0)</f>
        <v>3.2</v>
      </c>
      <c r="AP24" s="7" t="str" cm="1">
        <f t="array" ref="AP24">_xlfn.IFS(AO24=4,"A+",AO24=3.6,"A",AO24=3.2,"B+",AO24=2.8,"B",AO24=2.4,"C+",AO24=2,"C",AO24=1.6,"D",TRUE,"NG")</f>
        <v>B+</v>
      </c>
      <c r="AQ24" s="7" cm="1">
        <f t="array" ref="AQ24">_xlfn.IFS(AN24&gt;=70,25,AN24&gt;=60,24,AN24&gt;=50,23,AN24&gt;=40,22,AN24&gt;=30,21,TRUE,20)</f>
        <v>23</v>
      </c>
      <c r="AR24" s="7" cm="1">
        <f t="array" ref="AR24">_xlfn.IFS(AQ24/25*100&gt;=90,4,AQ24/25*100&gt;=80,3.6,AQ24/25*100&gt;=70,3.2,AQ24/25*100&gt;=60,2.8,AQ24/25*100&gt;=50,2.4,AQ24/25*100&gt;=40,2,AQ24/25*100&gt;=35,1.6,TRUE, 0)</f>
        <v>4</v>
      </c>
      <c r="AS24" s="7" t="str" cm="1">
        <f t="array" ref="AS24">_xlfn.IFS(AR24=4,"A+",AR24=3.6,"A",AR24=3.2,"B+",AR24=2.8,"B",AR24=2.4,"C+",AR24=2,"C",AR24=1.6,"D",TRUE,"NG")</f>
        <v>A+</v>
      </c>
      <c r="AT24" s="7">
        <f t="shared" si="4"/>
        <v>3.4</v>
      </c>
      <c r="AU24" s="7" t="str" cm="1">
        <f t="array" ref="AU24">_xlfn.IFS(AND(AT24&lt;=4,AT24&gt;3.6),"A+",AND(AT24&lt;=3.6,AT24&gt;3.2),"A",AND(AT24&lt;=3.2,AT24&gt;2.8),"B+",AND(AT24&lt;=2.8,AT24&gt;2.4),"B",AND(AT24&lt;=2.4,AT24&gt;2),"C+",AND(AT24&lt;=2,AT24&gt;1.6),"C",AT24=1.6,"D",TRUE,"NG")</f>
        <v>A</v>
      </c>
      <c r="AV24" s="7">
        <v>35</v>
      </c>
      <c r="AW24" s="7" cm="1">
        <f t="array" ref="AW24">IF(E24="BS",(_xlfn.IFS(AV24/75*100&gt;=90,4,AV24/75*100&gt;=80,3.6,AV24/75*100&gt;=70,3.2,AV24/75*100&gt;=60,2.8,AV24/75*100&gt;=50,2.4,AV24/75*100&gt;=40,2,AV24/75*100&gt;=35,1.6,TRUE, 0)),(_xlfn.IFS(AV24/50*100&gt;=90,4,AV24/50*100&gt;=80,3.6,AV24/50*100&gt;=70,3.2,AV24/50*100&gt;=60,2.8,AV24/50*100&gt;=50,2.4,AV24/50*100&gt;=40,2,AV24/50*100&gt;=35,1.6,TRUE, 0)))</f>
        <v>3.2</v>
      </c>
      <c r="AX24" s="7" t="str" cm="1">
        <f t="array" ref="AX24">_xlfn.IFS(AW24="-","-",AW24=4,"A+",AW24=3.6,"A",AW24=3.2,"B+",AW24=2.8,"B",AW24=2.4,"C+",AW24=2,"C",AW24=1.6,"D",TRUE,"NG")</f>
        <v>B+</v>
      </c>
      <c r="AY24" s="7" cm="1">
        <f t="array" ref="AY24">IF(E24="BS",(_xlfn.IFS(AV24&gt;=70,25,AV24&gt;=60,24,AV24&gt;=50,23,AV24&gt;=40,22,AV24&gt;=30,21,TRUE,20)),(_xlfn.IFS(AV24&gt;=45,48,AV24&gt;=40,46,AV24&gt;=35,44,AV24&gt;=30,40,AV24&gt;=25,38,TRUE,20)))</f>
        <v>44</v>
      </c>
      <c r="AZ24" s="7" cm="1">
        <f t="array" ref="AZ24">IF(E24="BS",(_xlfn.IFS(AY24/25*100&gt;=90,4,AY24/25*100&gt;=80,3.6,AY24/25*100&gt;=70,3.2,AY24/25*100&gt;=60,2.8,AY24/25*100&gt;=50,2.4,AY24/25*100&gt;=40,2,AY24/25*100&gt;=35,1.6,TRUE, 0)),(_xlfn.IFS(AY24/50*100&gt;=90,4,AY24/50*100&gt;=80,3.6,AY24/50*100&gt;=70,3.2,AY24/50*100&gt;=60,2.8,AY24/50*100&gt;=50,2.4,AY24/50*100&gt;=40,2,AY24/50*100&gt;=35,1.6,TRUE, 0)))</f>
        <v>3.6</v>
      </c>
      <c r="BA24" s="7" t="str" cm="1">
        <f t="array" ref="BA24">_xlfn.IFS(AZ24="-","-",AZ24=4,"A+",AZ24=3.6,"A",AZ24=3.2,"B+",AZ24=2.8,"B",AZ24=2.4,"C+",AZ24=2,"C",AZ24=1.6,"D",TRUE,"NG")</f>
        <v>A</v>
      </c>
      <c r="BB24" s="7">
        <f>IF(E24="BS",(AW24*3.75+AZ24*1.25)/5,(AW24*2.5+AZ24*2.5)/5)</f>
        <v>3.4</v>
      </c>
      <c r="BC24" s="7" t="str" cm="1">
        <f t="array" ref="BC24">_xlfn.IFS(BB24="-","-",AND(BB24&lt;=4,BB24&gt;3.6),"A+",AND(BB24&lt;=3.6,BB24&gt;3.2),"A",AND(BB24&lt;=3.2,BB24&gt;2.8),"B+",AND(BB24&lt;=2.8,BB24&gt;2.4),"B",AND(BB24&lt;=2.4,BB24&gt;2),"C+",AND(BB24&lt;=2,BB24&gt;1.6),"C",BB24=1.6,"D",TRUE,"NG")</f>
        <v>A</v>
      </c>
      <c r="BD24" s="12">
        <f>IF(E24="BS",(((I24*3+L24*1)+(Q24*2.25+T24*0.75)+(Y24*3.75+AB24*1.25)+(AG24*3.75+AJ24*1.25)+(AO24*3.75+AR24*1.25)+(AW24*3.75+AZ24*1.25))/(4+3+5*4)),(((I24*3+L24*1)+(Q24*2.25+T24*0.75)+(Y24*3.75+AB24*1.25)+(AG24*3.75+AJ24*1.25)+(AO24*3.75+AR24*1.25)+(AW24*2.5+AZ24*2.5))/(4+3+5*4)))</f>
        <v>3.2592592592592591</v>
      </c>
    </row>
    <row r="25" spans="1:56" x14ac:dyDescent="0.3">
      <c r="A25" s="2">
        <v>31</v>
      </c>
      <c r="B25" s="16">
        <v>793270280007</v>
      </c>
      <c r="C25" s="17">
        <v>12706858</v>
      </c>
      <c r="D25" s="3" t="s">
        <v>287</v>
      </c>
      <c r="E25" s="7" t="s">
        <v>80</v>
      </c>
      <c r="F25" s="20" t="s">
        <v>360</v>
      </c>
      <c r="G25" s="3" t="s">
        <v>325</v>
      </c>
      <c r="H25" s="7">
        <v>51</v>
      </c>
      <c r="I25" s="7" cm="1">
        <f t="array" ref="I25">_xlfn.IFS(H25/75*100&gt;=90,4,H25/75*100&gt;=80,3.6,H25/75*100&gt;=70,3.2,H25/75*100&gt;=60,2.8,H25/75*100&gt;=50,2.4,H25/75*100&gt;=40,2,H25/75*100&gt;=35,1.6,TRUE, 0)</f>
        <v>2.8</v>
      </c>
      <c r="J25" s="7" t="str" cm="1">
        <f t="array" ref="J25">_xlfn.IFS(I25=4,"A+",I25=3.6,"A",I25=3.2,"B+",I25=2.8,"B",I25=2.4,"C+",I25=2,"C",I25=1.6,"D",TRUE,"NG")</f>
        <v>B</v>
      </c>
      <c r="K25" s="7" cm="1">
        <f t="array" ref="K25">_xlfn.IFS(H25&gt;=70,25,H25&gt;=60,24,H25&gt;=50,23,H25&gt;=40,22,H25&gt;=30,21,TRUE,20)</f>
        <v>23</v>
      </c>
      <c r="L25" s="7" cm="1">
        <f t="array" ref="L25">_xlfn.IFS(K25/25*100&gt;=90,4,K25/25*100&gt;=80,3.6,K25/25*100&gt;=70,3.2,K25/25*100&gt;=60,2.8,K25/25*100&gt;=50,2.4,K25/25*100&gt;=40,2,K25/25*100&gt;=35,1.6,TRUE, 0)</f>
        <v>4</v>
      </c>
      <c r="M25" s="7" t="str" cm="1">
        <f t="array" ref="M25">_xlfn.IFS(L25=4,"A+",L25=3.6,"A",L25=3.2,"B+",L25=2.8,"B",L25=2.4,"C+",L25=2,"C",L25=1.6,"D",TRUE,"NG")</f>
        <v>A+</v>
      </c>
      <c r="N25" s="7">
        <f t="shared" si="0"/>
        <v>3.0999999999999996</v>
      </c>
      <c r="O25" s="7" t="str" cm="1">
        <f t="array" ref="O25">_xlfn.IFS(AND(N25&lt;=4,N25&gt;3.6),"A+",AND(N25&lt;=3.6,N25&gt;3.2),"A",AND(N25&lt;=3.2,N25&gt;2.8),"B+",AND(N25&lt;=2.8,N25&gt;2.4),"B",AND(N25&lt;=2.4,N25&gt;2),"C+",AND(N25&lt;=2,N25&gt;1.6),"C",N25=1.6,"D",TRUE,"NG")</f>
        <v>B+</v>
      </c>
      <c r="P25" s="7">
        <v>47</v>
      </c>
      <c r="Q25" s="7" cm="1">
        <f t="array" ref="Q25">_xlfn.IFS(P25/75*100&gt;=90,4,P25/75*100&gt;=80,3.6,P25/75*100&gt;=70,3.2,P25/75*100&gt;=60,2.8,P25/75*100&gt;=50,2.4,P25/75*100&gt;=40,2,P25/75*100&gt;=35,1.6,TRUE, 0)</f>
        <v>2.8</v>
      </c>
      <c r="R25" s="7" t="str" cm="1">
        <f t="array" ref="R25">_xlfn.IFS(Q25=4,"A+",Q25=3.6,"A",Q25=3.2,"B+",Q25=2.8,"B",Q25=2.4,"C+",Q25=2,"C",Q25=1.6,"D",TRUE,"NG")</f>
        <v>B</v>
      </c>
      <c r="S25" s="7" cm="1">
        <f t="array" ref="S25">_xlfn.IFS(P25&gt;=70,25,P25&gt;=60,24,P25&gt;=50,23,P25&gt;=40,22,P25&gt;=30,21,TRUE,20)</f>
        <v>22</v>
      </c>
      <c r="T25" s="7" cm="1">
        <f t="array" ref="T25">_xlfn.IFS(S25/25*100&gt;=90,4,S25/25*100&gt;=80,3.6,S25/25*100&gt;=70,3.2,S25/25*100&gt;=60,2.8,S25/25*100&gt;=50,2.4,S25/25*100&gt;=40,2,S25/25*100&gt;=35,1.6,TRUE, 0)</f>
        <v>3.6</v>
      </c>
      <c r="U25" s="7" t="str" cm="1">
        <f t="array" ref="U25">_xlfn.IFS(T25=4,"A+",T25=3.6,"A",T25=3.2,"B+",T25=2.8,"B",T25=2.4,"C+",T25=2,"C",T25=1.6,"D",TRUE,"NG")</f>
        <v>A</v>
      </c>
      <c r="V25" s="7">
        <f t="shared" si="1"/>
        <v>3</v>
      </c>
      <c r="W25" s="7" t="str" cm="1">
        <f t="array" ref="W25">_xlfn.IFS(AND(V25&lt;=4,V25&gt;3.6),"A+",AND(V25&lt;=3.6,V25&gt;3.2),"A",AND(V25&lt;=3.2,V25&gt;2.8),"B+",AND(V25&lt;=2.8,V25&gt;2.4),"B",AND(V25&lt;=2.4,V25&gt;2),"C+",AND(V25&lt;=2,V25&gt;1.6),"C",V25=1.6,"D",TRUE,"NG")</f>
        <v>B+</v>
      </c>
      <c r="X25" s="7">
        <v>54</v>
      </c>
      <c r="Y25" s="7" cm="1">
        <f t="array" ref="Y25">_xlfn.IFS(X25/75*100&gt;=90,4,X25/75*100&gt;=80,3.6,X25/75*100&gt;=70,3.2,X25/75*100&gt;=60,2.8,X25/75*100&gt;=50,2.4,X25/75*100&gt;=40,2,X25/75*100&gt;=35,1.6,TRUE, 0)</f>
        <v>3.2</v>
      </c>
      <c r="Z25" s="7" t="str" cm="1">
        <f t="array" ref="Z25">_xlfn.IFS(Y25=4,"A+",Y25=3.6,"A",Y25=3.2,"B+",Y25=2.8,"B",Y25=2.4,"C+",Y25=2,"C",Y25=1.6,"D",TRUE,"NG")</f>
        <v>B+</v>
      </c>
      <c r="AA25" s="7" cm="1">
        <f t="array" ref="AA25">_xlfn.IFS(X25&gt;=70,25,X25&gt;=60,24,X25&gt;=50,23,X25&gt;=40,22,X25&gt;=30,21,TRUE,20)</f>
        <v>23</v>
      </c>
      <c r="AB25" s="7" cm="1">
        <f t="array" ref="AB25">_xlfn.IFS(AA25/25*100&gt;=90,4,AA25/25*100&gt;=80,3.6,AA25/25*100&gt;=70,3.2,AA25/25*100&gt;=60,2.8,AA25/25*100&gt;=50,2.4,AA25/25*100&gt;=40,2,AA25/25*100&gt;=35,1.6,TRUE, 0)</f>
        <v>4</v>
      </c>
      <c r="AC25" s="7" t="str" cm="1">
        <f t="array" ref="AC25">_xlfn.IFS(AB25=4,"A+",AB25=3.6,"A",AB25=3.2,"B+",AB25=2.8,"B",AB25=2.4,"C+",AB25=2,"C",AB25=1.6,"D",TRUE,"NG")</f>
        <v>A+</v>
      </c>
      <c r="AD25" s="7">
        <f t="shared" si="2"/>
        <v>3.4</v>
      </c>
      <c r="AE25" s="7" t="str" cm="1">
        <f t="array" ref="AE25">_xlfn.IFS(AND(AD25&lt;=4,AD25&gt;3.6),"A+",AND(AD25&lt;=3.6,AD25&gt;3.2),"A",AND(AD25&lt;=3.2,AD25&gt;2.8),"B+",AND(AD25&lt;=2.8,AD25&gt;2.4),"B",AND(AD25&lt;=2.4,AD25&gt;2),"C+",AND(AD25&lt;=2,AD25&gt;1.6),"C",AD25=1.6,"D",TRUE,"NG")</f>
        <v>A</v>
      </c>
      <c r="AF25" s="7">
        <v>62</v>
      </c>
      <c r="AG25" s="7" cm="1">
        <f t="array" ref="AG25">_xlfn.IFS(AF25/75*100&gt;=90,4,AF25/75*100&gt;=80,3.6,AF25/75*100&gt;=70,3.2,AF25/75*100&gt;=60,2.8,AF25/75*100&gt;=50,2.4,AF25/75*100&gt;=40,2,AF25/75*100&gt;=35,1.6,TRUE, 0)</f>
        <v>3.6</v>
      </c>
      <c r="AH25" s="7" t="str" cm="1">
        <f t="array" ref="AH25">_xlfn.IFS(AG25=4,"A+",AG25=3.6,"A",AG25=3.2,"B+",AG25=2.8,"B",AG25=2.4,"C+",AG25=2,"C",AG25=1.6,"D",TRUE,"NG")</f>
        <v>A</v>
      </c>
      <c r="AI25" s="7" cm="1">
        <f t="array" ref="AI25">_xlfn.IFS(AF25&gt;=70,25,AF25&gt;=60,24,AF25&gt;=50,23,AF25&gt;=40,22,AF25&gt;=30,21,TRUE,20)</f>
        <v>24</v>
      </c>
      <c r="AJ25" s="7" cm="1">
        <f t="array" ref="AJ25">_xlfn.IFS(AI25/25*100&gt;=90,4,AI25/25*100&gt;=80,3.6,AI25/25*100&gt;=70,3.2,AI25/25*100&gt;=60,2.8,AI25/25*100&gt;=50,2.4,AI25/25*100&gt;=40,2,AI25/25*100&gt;=35,1.6,TRUE, 0)</f>
        <v>4</v>
      </c>
      <c r="AK25" s="7" t="str" cm="1">
        <f t="array" ref="AK25">_xlfn.IFS(AJ25=4,"A+",AJ25=3.6,"A",AJ25=3.2,"B+",AJ25=2.8,"B",AJ25=2.4,"C+",AJ25=2,"C",AJ25=1.6,"D",TRUE,"NG")</f>
        <v>A+</v>
      </c>
      <c r="AL25" s="7">
        <f t="shared" si="3"/>
        <v>3.7</v>
      </c>
      <c r="AM25" s="7" t="str" cm="1">
        <f t="array" ref="AM25">_xlfn.IFS(AND(AL25&lt;=4,AL25&gt;3.6),"A+",AND(AL25&lt;=3.6,AL25&gt;3.2),"A",AND(AL25&lt;=3.2,AL25&gt;2.8),"B+",AND(AL25&lt;=2.8,AL25&gt;2.4),"B",AND(AL25&lt;=2.4,AL25&gt;2),"C+",AND(AL25&lt;=2,AL25&gt;1.6),"C",AL25=1.6,"D",TRUE,"NG")</f>
        <v>A+</v>
      </c>
      <c r="AN25" s="7">
        <v>36</v>
      </c>
      <c r="AO25" s="7" cm="1">
        <f t="array" ref="AO25">_xlfn.IFS(AN25/75*100&gt;=90,4,AN25/75*100&gt;=80,3.6,AN25/75*100&gt;=70,3.2,AN25/75*100&gt;=60,2.8,AN25/75*100&gt;=50,2.4,AN25/75*100&gt;=40,2,AN25/75*100&gt;=35,1.6,TRUE, 0)</f>
        <v>2</v>
      </c>
      <c r="AP25" s="7" t="str" cm="1">
        <f t="array" ref="AP25">_xlfn.IFS(AO25=4,"A+",AO25=3.6,"A",AO25=3.2,"B+",AO25=2.8,"B",AO25=2.4,"C+",AO25=2,"C",AO25=1.6,"D",TRUE,"NG")</f>
        <v>C</v>
      </c>
      <c r="AQ25" s="7" cm="1">
        <f t="array" ref="AQ25">_xlfn.IFS(AN25&gt;=70,25,AN25&gt;=60,24,AN25&gt;=50,23,AN25&gt;=40,22,AN25&gt;=30,21,TRUE,20)</f>
        <v>21</v>
      </c>
      <c r="AR25" s="7" cm="1">
        <f t="array" ref="AR25">_xlfn.IFS(AQ25/25*100&gt;=90,4,AQ25/25*100&gt;=80,3.6,AQ25/25*100&gt;=70,3.2,AQ25/25*100&gt;=60,2.8,AQ25/25*100&gt;=50,2.4,AQ25/25*100&gt;=40,2,AQ25/25*100&gt;=35,1.6,TRUE, 0)</f>
        <v>3.6</v>
      </c>
      <c r="AS25" s="7" t="str" cm="1">
        <f t="array" ref="AS25">_xlfn.IFS(AR25=4,"A+",AR25=3.6,"A",AR25=3.2,"B+",AR25=2.8,"B",AR25=2.4,"C+",AR25=2,"C",AR25=1.6,"D",TRUE,"NG")</f>
        <v>A</v>
      </c>
      <c r="AT25" s="7">
        <f t="shared" si="4"/>
        <v>2.4</v>
      </c>
      <c r="AU25" s="7" t="str" cm="1">
        <f t="array" ref="AU25">_xlfn.IFS(AND(AT25&lt;=4,AT25&gt;3.6),"A+",AND(AT25&lt;=3.6,AT25&gt;3.2),"A",AND(AT25&lt;=3.2,AT25&gt;2.8),"B+",AND(AT25&lt;=2.8,AT25&gt;2.4),"B",AND(AT25&lt;=2.4,AT25&gt;2),"C+",AND(AT25&lt;=2,AT25&gt;1.6),"C",AT25=1.6,"D",TRUE,"NG")</f>
        <v>C+</v>
      </c>
      <c r="AV25" s="7">
        <v>31</v>
      </c>
      <c r="AW25" s="7" cm="1">
        <f t="array" ref="AW25">IF(E25="BS",(_xlfn.IFS(AV25/75*100&gt;=90,4,AV25/75*100&gt;=80,3.6,AV25/75*100&gt;=70,3.2,AV25/75*100&gt;=60,2.8,AV25/75*100&gt;=50,2.4,AV25/75*100&gt;=40,2,AV25/75*100&gt;=35,1.6,TRUE, 0)),(_xlfn.IFS(AV25/50*100&gt;=90,4,AV25/50*100&gt;=80,3.6,AV25/50*100&gt;=70,3.2,AV25/50*100&gt;=60,2.8,AV25/50*100&gt;=50,2.4,AV25/50*100&gt;=40,2,AV25/50*100&gt;=35,1.6,TRUE, 0)))</f>
        <v>2.8</v>
      </c>
      <c r="AX25" s="7" t="str" cm="1">
        <f t="array" ref="AX25">_xlfn.IFS(AW25="-","-",AW25=4,"A+",AW25=3.6,"A",AW25=3.2,"B+",AW25=2.8,"B",AW25=2.4,"C+",AW25=2,"C",AW25=1.6,"D",TRUE,"NG")</f>
        <v>B</v>
      </c>
      <c r="AY25" s="7" cm="1">
        <f t="array" ref="AY25">IF(E25="BS",(_xlfn.IFS(AV25&gt;=70,25,AV25&gt;=60,24,AV25&gt;=50,23,AV25&gt;=40,22,AV25&gt;=30,21,TRUE,20)),(_xlfn.IFS(AV25&gt;=45,48,AV25&gt;=40,46,AV25&gt;=35,44,AV25&gt;=30,40,AV25&gt;=25,38,TRUE,20)))</f>
        <v>40</v>
      </c>
      <c r="AZ25" s="7" cm="1">
        <f t="array" ref="AZ25">IF(E25="BS",(_xlfn.IFS(AY25/25*100&gt;=90,4,AY25/25*100&gt;=80,3.6,AY25/25*100&gt;=70,3.2,AY25/25*100&gt;=60,2.8,AY25/25*100&gt;=50,2.4,AY25/25*100&gt;=40,2,AY25/25*100&gt;=35,1.6,TRUE, 0)),(_xlfn.IFS(AY25/50*100&gt;=90,4,AY25/50*100&gt;=80,3.6,AY25/50*100&gt;=70,3.2,AY25/50*100&gt;=60,2.8,AY25/50*100&gt;=50,2.4,AY25/50*100&gt;=40,2,AY25/50*100&gt;=35,1.6,TRUE, 0)))</f>
        <v>3.6</v>
      </c>
      <c r="BA25" s="7" t="str" cm="1">
        <f t="array" ref="BA25">_xlfn.IFS(AZ25="-","-",AZ25=4,"A+",AZ25=3.6,"A",AZ25=3.2,"B+",AZ25=2.8,"B",AZ25=2.4,"C+",AZ25=2,"C",AZ25=1.6,"D",TRUE,"NG")</f>
        <v>A</v>
      </c>
      <c r="BB25" s="7">
        <f>IF(E25="BS",(AW25*3.75+AZ25*1.25)/5,(AW25*2.5+AZ25*2.5)/5)</f>
        <v>3.2</v>
      </c>
      <c r="BC25" s="7" t="str" cm="1">
        <f t="array" ref="BC25">_xlfn.IFS(BB25="-","-",AND(BB25&lt;=4,BB25&gt;3.6),"A+",AND(BB25&lt;=3.6,BB25&gt;3.2),"A",AND(BB25&lt;=3.2,BB25&gt;2.8),"B+",AND(BB25&lt;=2.8,BB25&gt;2.4),"B",AND(BB25&lt;=2.4,BB25&gt;2),"C+",AND(BB25&lt;=2,BB25&gt;1.6),"C",BB25=1.6,"D",TRUE,"NG")</f>
        <v>B+</v>
      </c>
      <c r="BD25" s="12">
        <f>IF(E25="BS",(((I25*3+L25*1)+(Q25*2.25+T25*0.75)+(Y25*3.75+AB25*1.25)+(AG25*3.75+AJ25*1.25)+(AO25*3.75+AR25*1.25)+(AW25*3.75+AZ25*1.25))/(4+3+5*4)),(((I25*3+L25*1)+(Q25*2.25+T25*0.75)+(Y25*3.75+AB25*1.25)+(AG25*3.75+AJ25*1.25)+(AO25*3.75+AR25*1.25)+(AW25*2.5+AZ25*2.5))/(4+3+5*4)))</f>
        <v>3.1444444444444448</v>
      </c>
    </row>
    <row r="26" spans="1:56" x14ac:dyDescent="0.3">
      <c r="A26" s="2">
        <v>32</v>
      </c>
      <c r="B26" s="16">
        <v>793270280012</v>
      </c>
      <c r="C26" s="17">
        <v>12706863</v>
      </c>
      <c r="D26" s="3" t="s">
        <v>288</v>
      </c>
      <c r="E26" s="7" t="s">
        <v>80</v>
      </c>
      <c r="F26" s="20" t="s">
        <v>361</v>
      </c>
      <c r="G26" s="3" t="s">
        <v>326</v>
      </c>
      <c r="H26" s="7">
        <v>35</v>
      </c>
      <c r="I26" s="7" cm="1">
        <f t="array" ref="I26">_xlfn.IFS(H26/75*100&gt;=90,4,H26/75*100&gt;=80,3.6,H26/75*100&gt;=70,3.2,H26/75*100&gt;=60,2.8,H26/75*100&gt;=50,2.4,H26/75*100&gt;=40,2,H26/75*100&gt;=35,1.6,TRUE, 0)</f>
        <v>2</v>
      </c>
      <c r="J26" s="7" t="str" cm="1">
        <f t="array" ref="J26">_xlfn.IFS(I26=4,"A+",I26=3.6,"A",I26=3.2,"B+",I26=2.8,"B",I26=2.4,"C+",I26=2,"C",I26=1.6,"D",TRUE,"NG")</f>
        <v>C</v>
      </c>
      <c r="K26" s="7" cm="1">
        <f t="array" ref="K26">_xlfn.IFS(H26&gt;=70,25,H26&gt;=60,24,H26&gt;=50,23,H26&gt;=40,22,H26&gt;=30,21,TRUE,20)</f>
        <v>21</v>
      </c>
      <c r="L26" s="7" cm="1">
        <f t="array" ref="L26">_xlfn.IFS(K26/25*100&gt;=90,4,K26/25*100&gt;=80,3.6,K26/25*100&gt;=70,3.2,K26/25*100&gt;=60,2.8,K26/25*100&gt;=50,2.4,K26/25*100&gt;=40,2,K26/25*100&gt;=35,1.6,TRUE, 0)</f>
        <v>3.6</v>
      </c>
      <c r="M26" s="7" t="str" cm="1">
        <f t="array" ref="M26">_xlfn.IFS(L26=4,"A+",L26=3.6,"A",L26=3.2,"B+",L26=2.8,"B",L26=2.4,"C+",L26=2,"C",L26=1.6,"D",TRUE,"NG")</f>
        <v>A</v>
      </c>
      <c r="N26" s="7">
        <f t="shared" si="0"/>
        <v>2.4</v>
      </c>
      <c r="O26" s="7" t="str" cm="1">
        <f t="array" ref="O26">_xlfn.IFS(AND(N26&lt;=4,N26&gt;3.6),"A+",AND(N26&lt;=3.6,N26&gt;3.2),"A",AND(N26&lt;=3.2,N26&gt;2.8),"B+",AND(N26&lt;=2.8,N26&gt;2.4),"B",AND(N26&lt;=2.4,N26&gt;2),"C+",AND(N26&lt;=2,N26&gt;1.6),"C",N26=1.6,"D",TRUE,"NG")</f>
        <v>C+</v>
      </c>
      <c r="P26" s="7">
        <v>41</v>
      </c>
      <c r="Q26" s="7" cm="1">
        <f t="array" ref="Q26">_xlfn.IFS(P26/75*100&gt;=90,4,P26/75*100&gt;=80,3.6,P26/75*100&gt;=70,3.2,P26/75*100&gt;=60,2.8,P26/75*100&gt;=50,2.4,P26/75*100&gt;=40,2,P26/75*100&gt;=35,1.6,TRUE, 0)</f>
        <v>2.4</v>
      </c>
      <c r="R26" s="7" t="str" cm="1">
        <f t="array" ref="R26">_xlfn.IFS(Q26=4,"A+",Q26=3.6,"A",Q26=3.2,"B+",Q26=2.8,"B",Q26=2.4,"C+",Q26=2,"C",Q26=1.6,"D",TRUE,"NG")</f>
        <v>C+</v>
      </c>
      <c r="S26" s="7" cm="1">
        <f t="array" ref="S26">_xlfn.IFS(P26&gt;=70,25,P26&gt;=60,24,P26&gt;=50,23,P26&gt;=40,22,P26&gt;=30,21,TRUE,20)</f>
        <v>22</v>
      </c>
      <c r="T26" s="7" cm="1">
        <f t="array" ref="T26">_xlfn.IFS(S26/25*100&gt;=90,4,S26/25*100&gt;=80,3.6,S26/25*100&gt;=70,3.2,S26/25*100&gt;=60,2.8,S26/25*100&gt;=50,2.4,S26/25*100&gt;=40,2,S26/25*100&gt;=35,1.6,TRUE, 0)</f>
        <v>3.6</v>
      </c>
      <c r="U26" s="7" t="str" cm="1">
        <f t="array" ref="U26">_xlfn.IFS(T26=4,"A+",T26=3.6,"A",T26=3.2,"B+",T26=2.8,"B",T26=2.4,"C+",T26=2,"C",T26=1.6,"D",TRUE,"NG")</f>
        <v>A</v>
      </c>
      <c r="V26" s="7">
        <f t="shared" si="1"/>
        <v>2.6999999999999997</v>
      </c>
      <c r="W26" s="7" t="str" cm="1">
        <f t="array" ref="W26">_xlfn.IFS(AND(V26&lt;=4,V26&gt;3.6),"A+",AND(V26&lt;=3.6,V26&gt;3.2),"A",AND(V26&lt;=3.2,V26&gt;2.8),"B+",AND(V26&lt;=2.8,V26&gt;2.4),"B",AND(V26&lt;=2.4,V26&gt;2),"C+",AND(V26&lt;=2,V26&gt;1.6),"C",V26=1.6,"D",TRUE,"NG")</f>
        <v>B</v>
      </c>
      <c r="X26" s="7">
        <v>41</v>
      </c>
      <c r="Y26" s="7" cm="1">
        <f t="array" ref="Y26">_xlfn.IFS(X26/75*100&gt;=90,4,X26/75*100&gt;=80,3.6,X26/75*100&gt;=70,3.2,X26/75*100&gt;=60,2.8,X26/75*100&gt;=50,2.4,X26/75*100&gt;=40,2,X26/75*100&gt;=35,1.6,TRUE, 0)</f>
        <v>2.4</v>
      </c>
      <c r="Z26" s="7" t="str" cm="1">
        <f t="array" ref="Z26">_xlfn.IFS(Y26=4,"A+",Y26=3.6,"A",Y26=3.2,"B+",Y26=2.8,"B",Y26=2.4,"C+",Y26=2,"C",Y26=1.6,"D",TRUE,"NG")</f>
        <v>C+</v>
      </c>
      <c r="AA26" s="7" cm="1">
        <f t="array" ref="AA26">_xlfn.IFS(X26&gt;=70,25,X26&gt;=60,24,X26&gt;=50,23,X26&gt;=40,22,X26&gt;=30,21,TRUE,20)</f>
        <v>22</v>
      </c>
      <c r="AB26" s="7" cm="1">
        <f t="array" ref="AB26">_xlfn.IFS(AA26/25*100&gt;=90,4,AA26/25*100&gt;=80,3.6,AA26/25*100&gt;=70,3.2,AA26/25*100&gt;=60,2.8,AA26/25*100&gt;=50,2.4,AA26/25*100&gt;=40,2,AA26/25*100&gt;=35,1.6,TRUE, 0)</f>
        <v>3.6</v>
      </c>
      <c r="AC26" s="7" t="str" cm="1">
        <f t="array" ref="AC26">_xlfn.IFS(AB26=4,"A+",AB26=3.6,"A",AB26=3.2,"B+",AB26=2.8,"B",AB26=2.4,"C+",AB26=2,"C",AB26=1.6,"D",TRUE,"NG")</f>
        <v>A</v>
      </c>
      <c r="AD26" s="7">
        <f t="shared" si="2"/>
        <v>2.7</v>
      </c>
      <c r="AE26" s="7" t="str" cm="1">
        <f t="array" ref="AE26">_xlfn.IFS(AND(AD26&lt;=4,AD26&gt;3.6),"A+",AND(AD26&lt;=3.6,AD26&gt;3.2),"A",AND(AD26&lt;=3.2,AD26&gt;2.8),"B+",AND(AD26&lt;=2.8,AD26&gt;2.4),"B",AND(AD26&lt;=2.4,AD26&gt;2),"C+",AND(AD26&lt;=2,AD26&gt;1.6),"C",AD26=1.6,"D",TRUE,"NG")</f>
        <v>B</v>
      </c>
      <c r="AF26" s="7">
        <v>27</v>
      </c>
      <c r="AG26" s="7" cm="1">
        <f t="array" ref="AG26">_xlfn.IFS(AF26/75*100&gt;=90,4,AF26/75*100&gt;=80,3.6,AF26/75*100&gt;=70,3.2,AF26/75*100&gt;=60,2.8,AF26/75*100&gt;=50,2.4,AF26/75*100&gt;=40,2,AF26/75*100&gt;=35,1.6,TRUE, 0)</f>
        <v>1.6</v>
      </c>
      <c r="AH26" s="7" t="str" cm="1">
        <f t="array" ref="AH26">_xlfn.IFS(AG26=4,"A+",AG26=3.6,"A",AG26=3.2,"B+",AG26=2.8,"B",AG26=2.4,"C+",AG26=2,"C",AG26=1.6,"D",TRUE,"NG")</f>
        <v>D</v>
      </c>
      <c r="AI26" s="7" cm="1">
        <f t="array" ref="AI26">_xlfn.IFS(AF26&gt;=70,25,AF26&gt;=60,24,AF26&gt;=50,23,AF26&gt;=40,22,AF26&gt;=30,21,TRUE,20)</f>
        <v>20</v>
      </c>
      <c r="AJ26" s="7" cm="1">
        <f t="array" ref="AJ26">_xlfn.IFS(AI26/25*100&gt;=90,4,AI26/25*100&gt;=80,3.6,AI26/25*100&gt;=70,3.2,AI26/25*100&gt;=60,2.8,AI26/25*100&gt;=50,2.4,AI26/25*100&gt;=40,2,AI26/25*100&gt;=35,1.6,TRUE, 0)</f>
        <v>3.6</v>
      </c>
      <c r="AK26" s="7" t="str" cm="1">
        <f t="array" ref="AK26">_xlfn.IFS(AJ26=4,"A+",AJ26=3.6,"A",AJ26=3.2,"B+",AJ26=2.8,"B",AJ26=2.4,"C+",AJ26=2,"C",AJ26=1.6,"D",TRUE,"NG")</f>
        <v>A</v>
      </c>
      <c r="AL26" s="7">
        <f t="shared" si="3"/>
        <v>2.1</v>
      </c>
      <c r="AM26" s="7" t="str" cm="1">
        <f t="array" ref="AM26">_xlfn.IFS(AND(AL26&lt;=4,AL26&gt;3.6),"A+",AND(AL26&lt;=3.6,AL26&gt;3.2),"A",AND(AL26&lt;=3.2,AL26&gt;2.8),"B+",AND(AL26&lt;=2.8,AL26&gt;2.4),"B",AND(AL26&lt;=2.4,AL26&gt;2),"C+",AND(AL26&lt;=2,AL26&gt;1.6),"C",AL26=1.6,"D",TRUE,"NG")</f>
        <v>C+</v>
      </c>
      <c r="AN26" s="7">
        <v>32</v>
      </c>
      <c r="AO26" s="7" cm="1">
        <f t="array" ref="AO26">_xlfn.IFS(AN26/75*100&gt;=90,4,AN26/75*100&gt;=80,3.6,AN26/75*100&gt;=70,3.2,AN26/75*100&gt;=60,2.8,AN26/75*100&gt;=50,2.4,AN26/75*100&gt;=40,2,AN26/75*100&gt;=35,1.6,TRUE, 0)</f>
        <v>2</v>
      </c>
      <c r="AP26" s="7" t="str" cm="1">
        <f t="array" ref="AP26">_xlfn.IFS(AO26=4,"A+",AO26=3.6,"A",AO26=3.2,"B+",AO26=2.8,"B",AO26=2.4,"C+",AO26=2,"C",AO26=1.6,"D",TRUE,"NG")</f>
        <v>C</v>
      </c>
      <c r="AQ26" s="7" cm="1">
        <f t="array" ref="AQ26">_xlfn.IFS(AN26&gt;=70,25,AN26&gt;=60,24,AN26&gt;=50,23,AN26&gt;=40,22,AN26&gt;=30,21,TRUE,20)</f>
        <v>21</v>
      </c>
      <c r="AR26" s="7" cm="1">
        <f t="array" ref="AR26">_xlfn.IFS(AQ26/25*100&gt;=90,4,AQ26/25*100&gt;=80,3.6,AQ26/25*100&gt;=70,3.2,AQ26/25*100&gt;=60,2.8,AQ26/25*100&gt;=50,2.4,AQ26/25*100&gt;=40,2,AQ26/25*100&gt;=35,1.6,TRUE, 0)</f>
        <v>3.6</v>
      </c>
      <c r="AS26" s="7" t="str" cm="1">
        <f t="array" ref="AS26">_xlfn.IFS(AR26=4,"A+",AR26=3.6,"A",AR26=3.2,"B+",AR26=2.8,"B",AR26=2.4,"C+",AR26=2,"C",AR26=1.6,"D",TRUE,"NG")</f>
        <v>A</v>
      </c>
      <c r="AT26" s="7">
        <f t="shared" si="4"/>
        <v>2.4</v>
      </c>
      <c r="AU26" s="7" t="str" cm="1">
        <f t="array" ref="AU26">_xlfn.IFS(AND(AT26&lt;=4,AT26&gt;3.6),"A+",AND(AT26&lt;=3.6,AT26&gt;3.2),"A",AND(AT26&lt;=3.2,AT26&gt;2.8),"B+",AND(AT26&lt;=2.8,AT26&gt;2.4),"B",AND(AT26&lt;=2.4,AT26&gt;2),"C+",AND(AT26&lt;=2,AT26&gt;1.6),"C",AT26=1.6,"D",TRUE,"NG")</f>
        <v>C+</v>
      </c>
      <c r="AV26" s="7">
        <v>25</v>
      </c>
      <c r="AW26" s="7" cm="1">
        <f t="array" ref="AW26">IF(E26="BS",(_xlfn.IFS(AV26/75*100&gt;=90,4,AV26/75*100&gt;=80,3.6,AV26/75*100&gt;=70,3.2,AV26/75*100&gt;=60,2.8,AV26/75*100&gt;=50,2.4,AV26/75*100&gt;=40,2,AV26/75*100&gt;=35,1.6,TRUE, 0)),(_xlfn.IFS(AV26/50*100&gt;=90,4,AV26/50*100&gt;=80,3.6,AV26/50*100&gt;=70,3.2,AV26/50*100&gt;=60,2.8,AV26/50*100&gt;=50,2.4,AV26/50*100&gt;=40,2,AV26/50*100&gt;=35,1.6,TRUE, 0)))</f>
        <v>2.4</v>
      </c>
      <c r="AX26" s="7" t="str" cm="1">
        <f t="array" ref="AX26">_xlfn.IFS(AW26="-","-",AW26=4,"A+",AW26=3.6,"A",AW26=3.2,"B+",AW26=2.8,"B",AW26=2.4,"C+",AW26=2,"C",AW26=1.6,"D",TRUE,"NG")</f>
        <v>C+</v>
      </c>
      <c r="AY26" s="7" cm="1">
        <f t="array" ref="AY26">IF(E26="BS",(_xlfn.IFS(AV26&gt;=70,25,AV26&gt;=60,24,AV26&gt;=50,23,AV26&gt;=40,22,AV26&gt;=30,21,TRUE,20)),(_xlfn.IFS(AV26&gt;=45,48,AV26&gt;=40,46,AV26&gt;=35,44,AV26&gt;=30,40,AV26&gt;=25,38,TRUE,20)))</f>
        <v>38</v>
      </c>
      <c r="AZ26" s="7" cm="1">
        <f t="array" ref="AZ26">IF(E26="BS",(_xlfn.IFS(AY26/25*100&gt;=90,4,AY26/25*100&gt;=80,3.6,AY26/25*100&gt;=70,3.2,AY26/25*100&gt;=60,2.8,AY26/25*100&gt;=50,2.4,AY26/25*100&gt;=40,2,AY26/25*100&gt;=35,1.6,TRUE, 0)),(_xlfn.IFS(AY26/50*100&gt;=90,4,AY26/50*100&gt;=80,3.6,AY26/50*100&gt;=70,3.2,AY26/50*100&gt;=60,2.8,AY26/50*100&gt;=50,2.4,AY26/50*100&gt;=40,2,AY26/50*100&gt;=35,1.6,TRUE, 0)))</f>
        <v>3.2</v>
      </c>
      <c r="BA26" s="7" t="str" cm="1">
        <f t="array" ref="BA26">_xlfn.IFS(AZ26="-","-",AZ26=4,"A+",AZ26=3.6,"A",AZ26=3.2,"B+",AZ26=2.8,"B",AZ26=2.4,"C+",AZ26=2,"C",AZ26=1.6,"D",TRUE,"NG")</f>
        <v>B+</v>
      </c>
      <c r="BB26" s="7">
        <f>IF(E26="BS",(AW26*3.75+AZ26*1.25)/5,(AW26*2.5+AZ26*2.5)/5)</f>
        <v>2.8</v>
      </c>
      <c r="BC26" s="7" t="str" cm="1">
        <f t="array" ref="BC26">_xlfn.IFS(BB26="-","-",AND(BB26&lt;=4,BB26&gt;3.6),"A+",AND(BB26&lt;=3.6,BB26&gt;3.2),"A",AND(BB26&lt;=3.2,BB26&gt;2.8),"B+",AND(BB26&lt;=2.8,BB26&gt;2.4),"B",AND(BB26&lt;=2.4,BB26&gt;2),"C+",AND(BB26&lt;=2,BB26&gt;1.6),"C",BB26=1.6,"D",TRUE,"NG")</f>
        <v>B</v>
      </c>
      <c r="BD26" s="12">
        <f>IF(E26="BS",(((I26*3+L26*1)+(Q26*2.25+T26*0.75)+(Y26*3.75+AB26*1.25)+(AG26*3.75+AJ26*1.25)+(AO26*3.75+AR26*1.25)+(AW26*3.75+AZ26*1.25))/(4+3+5*4)),(((I26*3+L26*1)+(Q26*2.25+T26*0.75)+(Y26*3.75+AB26*1.25)+(AG26*3.75+AJ26*1.25)+(AO26*3.75+AR26*1.25)+(AW26*2.5+AZ26*2.5))/(4+3+5*4)))</f>
        <v>2.5074074074074075</v>
      </c>
    </row>
    <row r="27" spans="1:56" x14ac:dyDescent="0.3">
      <c r="A27" s="2">
        <v>33</v>
      </c>
      <c r="B27" s="16">
        <v>793270280013</v>
      </c>
      <c r="C27" s="17">
        <v>12706864</v>
      </c>
      <c r="D27" s="3" t="s">
        <v>289</v>
      </c>
      <c r="E27" s="7" t="s">
        <v>80</v>
      </c>
      <c r="F27" s="20" t="s">
        <v>361</v>
      </c>
      <c r="G27" s="3" t="s">
        <v>326</v>
      </c>
      <c r="H27" s="7">
        <v>39</v>
      </c>
      <c r="I27" s="7" cm="1">
        <f t="array" ref="I27">_xlfn.IFS(H27/75*100&gt;=90,4,H27/75*100&gt;=80,3.6,H27/75*100&gt;=70,3.2,H27/75*100&gt;=60,2.8,H27/75*100&gt;=50,2.4,H27/75*100&gt;=40,2,H27/75*100&gt;=35,1.6,TRUE, 0)</f>
        <v>2.4</v>
      </c>
      <c r="J27" s="7" t="str" cm="1">
        <f t="array" ref="J27">_xlfn.IFS(I27=4,"A+",I27=3.6,"A",I27=3.2,"B+",I27=2.8,"B",I27=2.4,"C+",I27=2,"C",I27=1.6,"D",TRUE,"NG")</f>
        <v>C+</v>
      </c>
      <c r="K27" s="7" cm="1">
        <f t="array" ref="K27">_xlfn.IFS(H27&gt;=70,25,H27&gt;=60,24,H27&gt;=50,23,H27&gt;=40,22,H27&gt;=30,21,TRUE,20)</f>
        <v>21</v>
      </c>
      <c r="L27" s="7" cm="1">
        <f t="array" ref="L27">_xlfn.IFS(K27/25*100&gt;=90,4,K27/25*100&gt;=80,3.6,K27/25*100&gt;=70,3.2,K27/25*100&gt;=60,2.8,K27/25*100&gt;=50,2.4,K27/25*100&gt;=40,2,K27/25*100&gt;=35,1.6,TRUE, 0)</f>
        <v>3.6</v>
      </c>
      <c r="M27" s="7" t="str" cm="1">
        <f t="array" ref="M27">_xlfn.IFS(L27=4,"A+",L27=3.6,"A",L27=3.2,"B+",L27=2.8,"B",L27=2.4,"C+",L27=2,"C",L27=1.6,"D",TRUE,"NG")</f>
        <v>A</v>
      </c>
      <c r="N27" s="7">
        <f t="shared" si="0"/>
        <v>2.6999999999999997</v>
      </c>
      <c r="O27" s="7" t="str" cm="1">
        <f t="array" ref="O27">_xlfn.IFS(AND(N27&lt;=4,N27&gt;3.6),"A+",AND(N27&lt;=3.6,N27&gt;3.2),"A",AND(N27&lt;=3.2,N27&gt;2.8),"B+",AND(N27&lt;=2.8,N27&gt;2.4),"B",AND(N27&lt;=2.4,N27&gt;2),"C+",AND(N27&lt;=2,N27&gt;1.6),"C",N27=1.6,"D",TRUE,"NG")</f>
        <v>B</v>
      </c>
      <c r="P27" s="7">
        <v>47</v>
      </c>
      <c r="Q27" s="7" cm="1">
        <f t="array" ref="Q27">_xlfn.IFS(P27/75*100&gt;=90,4,P27/75*100&gt;=80,3.6,P27/75*100&gt;=70,3.2,P27/75*100&gt;=60,2.8,P27/75*100&gt;=50,2.4,P27/75*100&gt;=40,2,P27/75*100&gt;=35,1.6,TRUE, 0)</f>
        <v>2.8</v>
      </c>
      <c r="R27" s="7" t="str" cm="1">
        <f t="array" ref="R27">_xlfn.IFS(Q27=4,"A+",Q27=3.6,"A",Q27=3.2,"B+",Q27=2.8,"B",Q27=2.4,"C+",Q27=2,"C",Q27=1.6,"D",TRUE,"NG")</f>
        <v>B</v>
      </c>
      <c r="S27" s="7" cm="1">
        <f t="array" ref="S27">_xlfn.IFS(P27&gt;=70,25,P27&gt;=60,24,P27&gt;=50,23,P27&gt;=40,22,P27&gt;=30,21,TRUE,20)</f>
        <v>22</v>
      </c>
      <c r="T27" s="7" cm="1">
        <f t="array" ref="T27">_xlfn.IFS(S27/25*100&gt;=90,4,S27/25*100&gt;=80,3.6,S27/25*100&gt;=70,3.2,S27/25*100&gt;=60,2.8,S27/25*100&gt;=50,2.4,S27/25*100&gt;=40,2,S27/25*100&gt;=35,1.6,TRUE, 0)</f>
        <v>3.6</v>
      </c>
      <c r="U27" s="7" t="str" cm="1">
        <f t="array" ref="U27">_xlfn.IFS(T27=4,"A+",T27=3.6,"A",T27=3.2,"B+",T27=2.8,"B",T27=2.4,"C+",T27=2,"C",T27=1.6,"D",TRUE,"NG")</f>
        <v>A</v>
      </c>
      <c r="V27" s="7">
        <f t="shared" si="1"/>
        <v>3</v>
      </c>
      <c r="W27" s="7" t="str" cm="1">
        <f t="array" ref="W27">_xlfn.IFS(AND(V27&lt;=4,V27&gt;3.6),"A+",AND(V27&lt;=3.6,V27&gt;3.2),"A",AND(V27&lt;=3.2,V27&gt;2.8),"B+",AND(V27&lt;=2.8,V27&gt;2.4),"B",AND(V27&lt;=2.4,V27&gt;2),"C+",AND(V27&lt;=2,V27&gt;1.6),"C",V27=1.6,"D",TRUE,"NG")</f>
        <v>B+</v>
      </c>
      <c r="X27" s="7">
        <v>38</v>
      </c>
      <c r="Y27" s="7" cm="1">
        <f t="array" ref="Y27">_xlfn.IFS(X27/75*100&gt;=90,4,X27/75*100&gt;=80,3.6,X27/75*100&gt;=70,3.2,X27/75*100&gt;=60,2.8,X27/75*100&gt;=50,2.4,X27/75*100&gt;=40,2,X27/75*100&gt;=35,1.6,TRUE, 0)</f>
        <v>2.4</v>
      </c>
      <c r="Z27" s="7" t="str" cm="1">
        <f t="array" ref="Z27">_xlfn.IFS(Y27=4,"A+",Y27=3.6,"A",Y27=3.2,"B+",Y27=2.8,"B",Y27=2.4,"C+",Y27=2,"C",Y27=1.6,"D",TRUE,"NG")</f>
        <v>C+</v>
      </c>
      <c r="AA27" s="7" cm="1">
        <f t="array" ref="AA27">_xlfn.IFS(X27&gt;=70,25,X27&gt;=60,24,X27&gt;=50,23,X27&gt;=40,22,X27&gt;=30,21,TRUE,20)</f>
        <v>21</v>
      </c>
      <c r="AB27" s="7" cm="1">
        <f t="array" ref="AB27">_xlfn.IFS(AA27/25*100&gt;=90,4,AA27/25*100&gt;=80,3.6,AA27/25*100&gt;=70,3.2,AA27/25*100&gt;=60,2.8,AA27/25*100&gt;=50,2.4,AA27/25*100&gt;=40,2,AA27/25*100&gt;=35,1.6,TRUE, 0)</f>
        <v>3.6</v>
      </c>
      <c r="AC27" s="7" t="str" cm="1">
        <f t="array" ref="AC27">_xlfn.IFS(AB27=4,"A+",AB27=3.6,"A",AB27=3.2,"B+",AB27=2.8,"B",AB27=2.4,"C+",AB27=2,"C",AB27=1.6,"D",TRUE,"NG")</f>
        <v>A</v>
      </c>
      <c r="AD27" s="7">
        <f t="shared" si="2"/>
        <v>2.7</v>
      </c>
      <c r="AE27" s="7" t="str" cm="1">
        <f t="array" ref="AE27">_xlfn.IFS(AND(AD27&lt;=4,AD27&gt;3.6),"A+",AND(AD27&lt;=3.6,AD27&gt;3.2),"A",AND(AD27&lt;=3.2,AD27&gt;2.8),"B+",AND(AD27&lt;=2.8,AD27&gt;2.4),"B",AND(AD27&lt;=2.4,AD27&gt;2),"C+",AND(AD27&lt;=2,AD27&gt;1.6),"C",AD27=1.6,"D",TRUE,"NG")</f>
        <v>B</v>
      </c>
      <c r="AF27" s="7">
        <v>37</v>
      </c>
      <c r="AG27" s="7" cm="1">
        <f t="array" ref="AG27">_xlfn.IFS(AF27/75*100&gt;=90,4,AF27/75*100&gt;=80,3.6,AF27/75*100&gt;=70,3.2,AF27/75*100&gt;=60,2.8,AF27/75*100&gt;=50,2.4,AF27/75*100&gt;=40,2,AF27/75*100&gt;=35,1.6,TRUE, 0)</f>
        <v>2</v>
      </c>
      <c r="AH27" s="7" t="str" cm="1">
        <f t="array" ref="AH27">_xlfn.IFS(AG27=4,"A+",AG27=3.6,"A",AG27=3.2,"B+",AG27=2.8,"B",AG27=2.4,"C+",AG27=2,"C",AG27=1.6,"D",TRUE,"NG")</f>
        <v>C</v>
      </c>
      <c r="AI27" s="7" cm="1">
        <f t="array" ref="AI27">_xlfn.IFS(AF27&gt;=70,25,AF27&gt;=60,24,AF27&gt;=50,23,AF27&gt;=40,22,AF27&gt;=30,21,TRUE,20)</f>
        <v>21</v>
      </c>
      <c r="AJ27" s="7" cm="1">
        <f t="array" ref="AJ27">_xlfn.IFS(AI27/25*100&gt;=90,4,AI27/25*100&gt;=80,3.6,AI27/25*100&gt;=70,3.2,AI27/25*100&gt;=60,2.8,AI27/25*100&gt;=50,2.4,AI27/25*100&gt;=40,2,AI27/25*100&gt;=35,1.6,TRUE, 0)</f>
        <v>3.6</v>
      </c>
      <c r="AK27" s="7" t="str" cm="1">
        <f t="array" ref="AK27">_xlfn.IFS(AJ27=4,"A+",AJ27=3.6,"A",AJ27=3.2,"B+",AJ27=2.8,"B",AJ27=2.4,"C+",AJ27=2,"C",AJ27=1.6,"D",TRUE,"NG")</f>
        <v>A</v>
      </c>
      <c r="AL27" s="7">
        <f t="shared" si="3"/>
        <v>2.4</v>
      </c>
      <c r="AM27" s="7" t="str" cm="1">
        <f t="array" ref="AM27">_xlfn.IFS(AND(AL27&lt;=4,AL27&gt;3.6),"A+",AND(AL27&lt;=3.6,AL27&gt;3.2),"A",AND(AL27&lt;=3.2,AL27&gt;2.8),"B+",AND(AL27&lt;=2.8,AL27&gt;2.4),"B",AND(AL27&lt;=2.4,AL27&gt;2),"C+",AND(AL27&lt;=2,AL27&gt;1.6),"C",AL27=1.6,"D",TRUE,"NG")</f>
        <v>C+</v>
      </c>
      <c r="AN27" s="7">
        <v>45</v>
      </c>
      <c r="AO27" s="7" cm="1">
        <f t="array" ref="AO27">_xlfn.IFS(AN27/75*100&gt;=90,4,AN27/75*100&gt;=80,3.6,AN27/75*100&gt;=70,3.2,AN27/75*100&gt;=60,2.8,AN27/75*100&gt;=50,2.4,AN27/75*100&gt;=40,2,AN27/75*100&gt;=35,1.6,TRUE, 0)</f>
        <v>2.8</v>
      </c>
      <c r="AP27" s="7" t="str" cm="1">
        <f t="array" ref="AP27">_xlfn.IFS(AO27=4,"A+",AO27=3.6,"A",AO27=3.2,"B+",AO27=2.8,"B",AO27=2.4,"C+",AO27=2,"C",AO27=1.6,"D",TRUE,"NG")</f>
        <v>B</v>
      </c>
      <c r="AQ27" s="7" cm="1">
        <f t="array" ref="AQ27">_xlfn.IFS(AN27&gt;=70,25,AN27&gt;=60,24,AN27&gt;=50,23,AN27&gt;=40,22,AN27&gt;=30,21,TRUE,20)</f>
        <v>22</v>
      </c>
      <c r="AR27" s="7" cm="1">
        <f t="array" ref="AR27">_xlfn.IFS(AQ27/25*100&gt;=90,4,AQ27/25*100&gt;=80,3.6,AQ27/25*100&gt;=70,3.2,AQ27/25*100&gt;=60,2.8,AQ27/25*100&gt;=50,2.4,AQ27/25*100&gt;=40,2,AQ27/25*100&gt;=35,1.6,TRUE, 0)</f>
        <v>3.6</v>
      </c>
      <c r="AS27" s="7" t="str" cm="1">
        <f t="array" ref="AS27">_xlfn.IFS(AR27=4,"A+",AR27=3.6,"A",AR27=3.2,"B+",AR27=2.8,"B",AR27=2.4,"C+",AR27=2,"C",AR27=1.6,"D",TRUE,"NG")</f>
        <v>A</v>
      </c>
      <c r="AT27" s="7">
        <f t="shared" si="4"/>
        <v>3</v>
      </c>
      <c r="AU27" s="7" t="str" cm="1">
        <f t="array" ref="AU27">_xlfn.IFS(AND(AT27&lt;=4,AT27&gt;3.6),"A+",AND(AT27&lt;=3.6,AT27&gt;3.2),"A",AND(AT27&lt;=3.2,AT27&gt;2.8),"B+",AND(AT27&lt;=2.8,AT27&gt;2.4),"B",AND(AT27&lt;=2.4,AT27&gt;2),"C+",AND(AT27&lt;=2,AT27&gt;1.6),"C",AT27=1.6,"D",TRUE,"NG")</f>
        <v>B+</v>
      </c>
      <c r="AV27" s="7">
        <v>25</v>
      </c>
      <c r="AW27" s="7" cm="1">
        <f t="array" ref="AW27">IF(E27="BS",(_xlfn.IFS(AV27/75*100&gt;=90,4,AV27/75*100&gt;=80,3.6,AV27/75*100&gt;=70,3.2,AV27/75*100&gt;=60,2.8,AV27/75*100&gt;=50,2.4,AV27/75*100&gt;=40,2,AV27/75*100&gt;=35,1.6,TRUE, 0)),(_xlfn.IFS(AV27/50*100&gt;=90,4,AV27/50*100&gt;=80,3.6,AV27/50*100&gt;=70,3.2,AV27/50*100&gt;=60,2.8,AV27/50*100&gt;=50,2.4,AV27/50*100&gt;=40,2,AV27/50*100&gt;=35,1.6,TRUE, 0)))</f>
        <v>2.4</v>
      </c>
      <c r="AX27" s="7" t="str" cm="1">
        <f t="array" ref="AX27">_xlfn.IFS(AW27="-","-",AW27=4,"A+",AW27=3.6,"A",AW27=3.2,"B+",AW27=2.8,"B",AW27=2.4,"C+",AW27=2,"C",AW27=1.6,"D",TRUE,"NG")</f>
        <v>C+</v>
      </c>
      <c r="AY27" s="7" cm="1">
        <f t="array" ref="AY27">IF(E27="BS",(_xlfn.IFS(AV27&gt;=70,25,AV27&gt;=60,24,AV27&gt;=50,23,AV27&gt;=40,22,AV27&gt;=30,21,TRUE,20)),(_xlfn.IFS(AV27&gt;=45,48,AV27&gt;=40,46,AV27&gt;=35,44,AV27&gt;=30,40,AV27&gt;=25,38,TRUE,20)))</f>
        <v>38</v>
      </c>
      <c r="AZ27" s="7" cm="1">
        <f t="array" ref="AZ27">IF(E27="BS",(_xlfn.IFS(AY27/25*100&gt;=90,4,AY27/25*100&gt;=80,3.6,AY27/25*100&gt;=70,3.2,AY27/25*100&gt;=60,2.8,AY27/25*100&gt;=50,2.4,AY27/25*100&gt;=40,2,AY27/25*100&gt;=35,1.6,TRUE, 0)),(_xlfn.IFS(AY27/50*100&gt;=90,4,AY27/50*100&gt;=80,3.6,AY27/50*100&gt;=70,3.2,AY27/50*100&gt;=60,2.8,AY27/50*100&gt;=50,2.4,AY27/50*100&gt;=40,2,AY27/50*100&gt;=35,1.6,TRUE, 0)))</f>
        <v>3.2</v>
      </c>
      <c r="BA27" s="7" t="str" cm="1">
        <f t="array" ref="BA27">_xlfn.IFS(AZ27="-","-",AZ27=4,"A+",AZ27=3.6,"A",AZ27=3.2,"B+",AZ27=2.8,"B",AZ27=2.4,"C+",AZ27=2,"C",AZ27=1.6,"D",TRUE,"NG")</f>
        <v>B+</v>
      </c>
      <c r="BB27" s="7">
        <f>IF(E27="BS",(AW27*3.75+AZ27*1.25)/5,(AW27*2.5+AZ27*2.5)/5)</f>
        <v>2.8</v>
      </c>
      <c r="BC27" s="7" t="str" cm="1">
        <f t="array" ref="BC27">_xlfn.IFS(BB27="-","-",AND(BB27&lt;=4,BB27&gt;3.6),"A+",AND(BB27&lt;=3.6,BB27&gt;3.2),"A",AND(BB27&lt;=3.2,BB27&gt;2.8),"B+",AND(BB27&lt;=2.8,BB27&gt;2.4),"B",AND(BB27&lt;=2.4,BB27&gt;2),"C+",AND(BB27&lt;=2,BB27&gt;1.6),"C",BB27=1.6,"D",TRUE,"NG")</f>
        <v>B</v>
      </c>
      <c r="BD27" s="12">
        <f>IF(E27="BS",(((I27*3+L27*1)+(Q27*2.25+T27*0.75)+(Y27*3.75+AB27*1.25)+(AG27*3.75+AJ27*1.25)+(AO27*3.75+AR27*1.25)+(AW27*3.75+AZ27*1.25))/(4+3+5*4)),(((I27*3+L27*1)+(Q27*2.25+T27*0.75)+(Y27*3.75+AB27*1.25)+(AG27*3.75+AJ27*1.25)+(AO27*3.75+AR27*1.25)+(AW27*2.5+AZ27*2.5))/(4+3+5*4)))</f>
        <v>2.7518518518518515</v>
      </c>
    </row>
    <row r="28" spans="1:56" x14ac:dyDescent="0.3">
      <c r="A28" s="2">
        <v>34</v>
      </c>
      <c r="B28" s="16">
        <v>793270280014</v>
      </c>
      <c r="C28" s="17">
        <v>12706865</v>
      </c>
      <c r="D28" s="3" t="s">
        <v>290</v>
      </c>
      <c r="E28" s="7" t="s">
        <v>80</v>
      </c>
      <c r="F28" s="20" t="s">
        <v>362</v>
      </c>
      <c r="G28" s="3" t="s">
        <v>327</v>
      </c>
      <c r="H28" s="7">
        <v>55</v>
      </c>
      <c r="I28" s="7" cm="1">
        <f t="array" ref="I28">_xlfn.IFS(H28/75*100&gt;=90,4,H28/75*100&gt;=80,3.6,H28/75*100&gt;=70,3.2,H28/75*100&gt;=60,2.8,H28/75*100&gt;=50,2.4,H28/75*100&gt;=40,2,H28/75*100&gt;=35,1.6,TRUE, 0)</f>
        <v>3.2</v>
      </c>
      <c r="J28" s="7" t="str" cm="1">
        <f t="array" ref="J28">_xlfn.IFS(I28=4,"A+",I28=3.6,"A",I28=3.2,"B+",I28=2.8,"B",I28=2.4,"C+",I28=2,"C",I28=1.6,"D",TRUE,"NG")</f>
        <v>B+</v>
      </c>
      <c r="K28" s="7" cm="1">
        <f t="array" ref="K28">_xlfn.IFS(H28&gt;=70,25,H28&gt;=60,24,H28&gt;=50,23,H28&gt;=40,22,H28&gt;=30,21,TRUE,20)</f>
        <v>23</v>
      </c>
      <c r="L28" s="7" cm="1">
        <f t="array" ref="L28">_xlfn.IFS(K28/25*100&gt;=90,4,K28/25*100&gt;=80,3.6,K28/25*100&gt;=70,3.2,K28/25*100&gt;=60,2.8,K28/25*100&gt;=50,2.4,K28/25*100&gt;=40,2,K28/25*100&gt;=35,1.6,TRUE, 0)</f>
        <v>4</v>
      </c>
      <c r="M28" s="7" t="str" cm="1">
        <f t="array" ref="M28">_xlfn.IFS(L28=4,"A+",L28=3.6,"A",L28=3.2,"B+",L28=2.8,"B",L28=2.4,"C+",L28=2,"C",L28=1.6,"D",TRUE,"NG")</f>
        <v>A+</v>
      </c>
      <c r="N28" s="7">
        <f t="shared" si="0"/>
        <v>3.4000000000000004</v>
      </c>
      <c r="O28" s="7" t="str" cm="1">
        <f t="array" ref="O28">_xlfn.IFS(AND(N28&lt;=4,N28&gt;3.6),"A+",AND(N28&lt;=3.6,N28&gt;3.2),"A",AND(N28&lt;=3.2,N28&gt;2.8),"B+",AND(N28&lt;=2.8,N28&gt;2.4),"B",AND(N28&lt;=2.4,N28&gt;2),"C+",AND(N28&lt;=2,N28&gt;1.6),"C",N28=1.6,"D",TRUE,"NG")</f>
        <v>A</v>
      </c>
      <c r="P28" s="7">
        <v>35</v>
      </c>
      <c r="Q28" s="7" cm="1">
        <f t="array" ref="Q28">_xlfn.IFS(P28/75*100&gt;=90,4,P28/75*100&gt;=80,3.6,P28/75*100&gt;=70,3.2,P28/75*100&gt;=60,2.8,P28/75*100&gt;=50,2.4,P28/75*100&gt;=40,2,P28/75*100&gt;=35,1.6,TRUE, 0)</f>
        <v>2</v>
      </c>
      <c r="R28" s="7" t="str" cm="1">
        <f t="array" ref="R28">_xlfn.IFS(Q28=4,"A+",Q28=3.6,"A",Q28=3.2,"B+",Q28=2.8,"B",Q28=2.4,"C+",Q28=2,"C",Q28=1.6,"D",TRUE,"NG")</f>
        <v>C</v>
      </c>
      <c r="S28" s="7" cm="1">
        <f t="array" ref="S28">_xlfn.IFS(P28&gt;=70,25,P28&gt;=60,24,P28&gt;=50,23,P28&gt;=40,22,P28&gt;=30,21,TRUE,20)</f>
        <v>21</v>
      </c>
      <c r="T28" s="7" cm="1">
        <f t="array" ref="T28">_xlfn.IFS(S28/25*100&gt;=90,4,S28/25*100&gt;=80,3.6,S28/25*100&gt;=70,3.2,S28/25*100&gt;=60,2.8,S28/25*100&gt;=50,2.4,S28/25*100&gt;=40,2,S28/25*100&gt;=35,1.6,TRUE, 0)</f>
        <v>3.6</v>
      </c>
      <c r="U28" s="7" t="str" cm="1">
        <f t="array" ref="U28">_xlfn.IFS(T28=4,"A+",T28=3.6,"A",T28=3.2,"B+",T28=2.8,"B",T28=2.4,"C+",T28=2,"C",T28=1.6,"D",TRUE,"NG")</f>
        <v>A</v>
      </c>
      <c r="V28" s="7">
        <f t="shared" si="1"/>
        <v>2.4</v>
      </c>
      <c r="W28" s="7" t="str" cm="1">
        <f t="array" ref="W28">_xlfn.IFS(AND(V28&lt;=4,V28&gt;3.6),"A+",AND(V28&lt;=3.6,V28&gt;3.2),"A",AND(V28&lt;=3.2,V28&gt;2.8),"B+",AND(V28&lt;=2.8,V28&gt;2.4),"B",AND(V28&lt;=2.4,V28&gt;2),"C+",AND(V28&lt;=2,V28&gt;1.6),"C",V28=1.6,"D",TRUE,"NG")</f>
        <v>C+</v>
      </c>
      <c r="X28" s="7">
        <v>26</v>
      </c>
      <c r="Y28" s="7" cm="1">
        <f t="array" ref="Y28">_xlfn.IFS(X28/75*100&gt;=90,4,X28/75*100&gt;=80,3.6,X28/75*100&gt;=70,3.2,X28/75*100&gt;=60,2.8,X28/75*100&gt;=50,2.4,X28/75*100&gt;=40,2,X28/75*100&gt;=35,1.6,TRUE, 0)</f>
        <v>0</v>
      </c>
      <c r="Z28" s="7" t="str" cm="1">
        <f t="array" ref="Z28">_xlfn.IFS(Y28=4,"A+",Y28=3.6,"A",Y28=3.2,"B+",Y28=2.8,"B",Y28=2.4,"C+",Y28=2,"C",Y28=1.6,"D",TRUE,"NG")</f>
        <v>NG</v>
      </c>
      <c r="AA28" s="7" cm="1">
        <f t="array" ref="AA28">_xlfn.IFS(X28&gt;=70,25,X28&gt;=60,24,X28&gt;=50,23,X28&gt;=40,22,X28&gt;=30,21,TRUE,20)</f>
        <v>20</v>
      </c>
      <c r="AB28" s="7" cm="1">
        <f t="array" ref="AB28">_xlfn.IFS(AA28/25*100&gt;=90,4,AA28/25*100&gt;=80,3.6,AA28/25*100&gt;=70,3.2,AA28/25*100&gt;=60,2.8,AA28/25*100&gt;=50,2.4,AA28/25*100&gt;=40,2,AA28/25*100&gt;=35,1.6,TRUE, 0)</f>
        <v>3.6</v>
      </c>
      <c r="AC28" s="7" t="str" cm="1">
        <f t="array" ref="AC28">_xlfn.IFS(AB28=4,"A+",AB28=3.6,"A",AB28=3.2,"B+",AB28=2.8,"B",AB28=2.4,"C+",AB28=2,"C",AB28=1.6,"D",TRUE,"NG")</f>
        <v>A</v>
      </c>
      <c r="AD28" s="7">
        <f t="shared" si="2"/>
        <v>0.9</v>
      </c>
      <c r="AE28" s="7" t="str" cm="1">
        <f t="array" ref="AE28">_xlfn.IFS(AND(AD28&lt;=4,AD28&gt;3.6),"A+",AND(AD28&lt;=3.6,AD28&gt;3.2),"A",AND(AD28&lt;=3.2,AD28&gt;2.8),"B+",AND(AD28&lt;=2.8,AD28&gt;2.4),"B",AND(AD28&lt;=2.4,AD28&gt;2),"C+",AND(AD28&lt;=2,AD28&gt;1.6),"C",AD28=1.6,"D",TRUE,"NG")</f>
        <v>NG</v>
      </c>
      <c r="AF28" s="7">
        <v>30</v>
      </c>
      <c r="AG28" s="7" cm="1">
        <f t="array" ref="AG28">_xlfn.IFS(AF28/75*100&gt;=90,4,AF28/75*100&gt;=80,3.6,AF28/75*100&gt;=70,3.2,AF28/75*100&gt;=60,2.8,AF28/75*100&gt;=50,2.4,AF28/75*100&gt;=40,2,AF28/75*100&gt;=35,1.6,TRUE, 0)</f>
        <v>2</v>
      </c>
      <c r="AH28" s="7" t="str" cm="1">
        <f t="array" ref="AH28">_xlfn.IFS(AG28=4,"A+",AG28=3.6,"A",AG28=3.2,"B+",AG28=2.8,"B",AG28=2.4,"C+",AG28=2,"C",AG28=1.6,"D",TRUE,"NG")</f>
        <v>C</v>
      </c>
      <c r="AI28" s="7" cm="1">
        <f t="array" ref="AI28">_xlfn.IFS(AF28&gt;=70,25,AF28&gt;=60,24,AF28&gt;=50,23,AF28&gt;=40,22,AF28&gt;=30,21,TRUE,20)</f>
        <v>21</v>
      </c>
      <c r="AJ28" s="7" cm="1">
        <f t="array" ref="AJ28">_xlfn.IFS(AI28/25*100&gt;=90,4,AI28/25*100&gt;=80,3.6,AI28/25*100&gt;=70,3.2,AI28/25*100&gt;=60,2.8,AI28/25*100&gt;=50,2.4,AI28/25*100&gt;=40,2,AI28/25*100&gt;=35,1.6,TRUE, 0)</f>
        <v>3.6</v>
      </c>
      <c r="AK28" s="7" t="str" cm="1">
        <f t="array" ref="AK28">_xlfn.IFS(AJ28=4,"A+",AJ28=3.6,"A",AJ28=3.2,"B+",AJ28=2.8,"B",AJ28=2.4,"C+",AJ28=2,"C",AJ28=1.6,"D",TRUE,"NG")</f>
        <v>A</v>
      </c>
      <c r="AL28" s="7">
        <f t="shared" si="3"/>
        <v>2.4</v>
      </c>
      <c r="AM28" s="7" t="str" cm="1">
        <f t="array" ref="AM28">_xlfn.IFS(AND(AL28&lt;=4,AL28&gt;3.6),"A+",AND(AL28&lt;=3.6,AL28&gt;3.2),"A",AND(AL28&lt;=3.2,AL28&gt;2.8),"B+",AND(AL28&lt;=2.8,AL28&gt;2.4),"B",AND(AL28&lt;=2.4,AL28&gt;2),"C+",AND(AL28&lt;=2,AL28&gt;1.6),"C",AL28=1.6,"D",TRUE,"NG")</f>
        <v>C+</v>
      </c>
      <c r="AN28" s="7">
        <v>34</v>
      </c>
      <c r="AO28" s="7" cm="1">
        <f t="array" ref="AO28">_xlfn.IFS(AN28/75*100&gt;=90,4,AN28/75*100&gt;=80,3.6,AN28/75*100&gt;=70,3.2,AN28/75*100&gt;=60,2.8,AN28/75*100&gt;=50,2.4,AN28/75*100&gt;=40,2,AN28/75*100&gt;=35,1.6,TRUE, 0)</f>
        <v>2</v>
      </c>
      <c r="AP28" s="7" t="str" cm="1">
        <f t="array" ref="AP28">_xlfn.IFS(AO28=4,"A+",AO28=3.6,"A",AO28=3.2,"B+",AO28=2.8,"B",AO28=2.4,"C+",AO28=2,"C",AO28=1.6,"D",TRUE,"NG")</f>
        <v>C</v>
      </c>
      <c r="AQ28" s="7" cm="1">
        <f t="array" ref="AQ28">_xlfn.IFS(AN28&gt;=70,25,AN28&gt;=60,24,AN28&gt;=50,23,AN28&gt;=40,22,AN28&gt;=30,21,TRUE,20)</f>
        <v>21</v>
      </c>
      <c r="AR28" s="7" cm="1">
        <f t="array" ref="AR28">_xlfn.IFS(AQ28/25*100&gt;=90,4,AQ28/25*100&gt;=80,3.6,AQ28/25*100&gt;=70,3.2,AQ28/25*100&gt;=60,2.8,AQ28/25*100&gt;=50,2.4,AQ28/25*100&gt;=40,2,AQ28/25*100&gt;=35,1.6,TRUE, 0)</f>
        <v>3.6</v>
      </c>
      <c r="AS28" s="7" t="str" cm="1">
        <f t="array" ref="AS28">_xlfn.IFS(AR28=4,"A+",AR28=3.6,"A",AR28=3.2,"B+",AR28=2.8,"B",AR28=2.4,"C+",AR28=2,"C",AR28=1.6,"D",TRUE,"NG")</f>
        <v>A</v>
      </c>
      <c r="AT28" s="7">
        <f t="shared" si="4"/>
        <v>2.4</v>
      </c>
      <c r="AU28" s="7" t="str" cm="1">
        <f t="array" ref="AU28">_xlfn.IFS(AND(AT28&lt;=4,AT28&gt;3.6),"A+",AND(AT28&lt;=3.6,AT28&gt;3.2),"A",AND(AT28&lt;=3.2,AT28&gt;2.8),"B+",AND(AT28&lt;=2.8,AT28&gt;2.4),"B",AND(AT28&lt;=2.4,AT28&gt;2),"C+",AND(AT28&lt;=2,AT28&gt;1.6),"C",AT28=1.6,"D",TRUE,"NG")</f>
        <v>C+</v>
      </c>
      <c r="AV28" s="7">
        <v>29</v>
      </c>
      <c r="AW28" s="7" cm="1">
        <f t="array" ref="AW28">IF(E28="BS",(_xlfn.IFS(AV28/75*100&gt;=90,4,AV28/75*100&gt;=80,3.6,AV28/75*100&gt;=70,3.2,AV28/75*100&gt;=60,2.8,AV28/75*100&gt;=50,2.4,AV28/75*100&gt;=40,2,AV28/75*100&gt;=35,1.6,TRUE, 0)),(_xlfn.IFS(AV28/50*100&gt;=90,4,AV28/50*100&gt;=80,3.6,AV28/50*100&gt;=70,3.2,AV28/50*100&gt;=60,2.8,AV28/50*100&gt;=50,2.4,AV28/50*100&gt;=40,2,AV28/50*100&gt;=35,1.6,TRUE, 0)))</f>
        <v>2.4</v>
      </c>
      <c r="AX28" s="7" t="str" cm="1">
        <f t="array" ref="AX28">_xlfn.IFS(AW28="-","-",AW28=4,"A+",AW28=3.6,"A",AW28=3.2,"B+",AW28=2.8,"B",AW28=2.4,"C+",AW28=2,"C",AW28=1.6,"D",TRUE,"NG")</f>
        <v>C+</v>
      </c>
      <c r="AY28" s="7" cm="1">
        <f t="array" ref="AY28">IF(E28="BS",(_xlfn.IFS(AV28&gt;=70,25,AV28&gt;=60,24,AV28&gt;=50,23,AV28&gt;=40,22,AV28&gt;=30,21,TRUE,20)),(_xlfn.IFS(AV28&gt;=45,48,AV28&gt;=40,46,AV28&gt;=35,44,AV28&gt;=30,40,AV28&gt;=25,38,TRUE,20)))</f>
        <v>38</v>
      </c>
      <c r="AZ28" s="7" cm="1">
        <f t="array" ref="AZ28">IF(E28="BS",(_xlfn.IFS(AY28/25*100&gt;=90,4,AY28/25*100&gt;=80,3.6,AY28/25*100&gt;=70,3.2,AY28/25*100&gt;=60,2.8,AY28/25*100&gt;=50,2.4,AY28/25*100&gt;=40,2,AY28/25*100&gt;=35,1.6,TRUE, 0)),(_xlfn.IFS(AY28/50*100&gt;=90,4,AY28/50*100&gt;=80,3.6,AY28/50*100&gt;=70,3.2,AY28/50*100&gt;=60,2.8,AY28/50*100&gt;=50,2.4,AY28/50*100&gt;=40,2,AY28/50*100&gt;=35,1.6,TRUE, 0)))</f>
        <v>3.2</v>
      </c>
      <c r="BA28" s="7" t="str" cm="1">
        <f t="array" ref="BA28">_xlfn.IFS(AZ28="-","-",AZ28=4,"A+",AZ28=3.6,"A",AZ28=3.2,"B+",AZ28=2.8,"B",AZ28=2.4,"C+",AZ28=2,"C",AZ28=1.6,"D",TRUE,"NG")</f>
        <v>B+</v>
      </c>
      <c r="BB28" s="7">
        <f>IF(E28="BS",(AW28*3.75+AZ28*1.25)/5,(AW28*2.5+AZ28*2.5)/5)</f>
        <v>2.8</v>
      </c>
      <c r="BC28" s="7" t="str" cm="1">
        <f t="array" ref="BC28">_xlfn.IFS(BB28="-","-",AND(BB28&lt;=4,BB28&gt;3.6),"A+",AND(BB28&lt;=3.6,BB28&gt;3.2),"A",AND(BB28&lt;=3.2,BB28&gt;2.8),"B+",AND(BB28&lt;=2.8,BB28&gt;2.4),"B",AND(BB28&lt;=2.4,BB28&gt;2),"C+",AND(BB28&lt;=2,BB28&gt;1.6),"C",BB28=1.6,"D",TRUE,"NG")</f>
        <v>B</v>
      </c>
      <c r="BD28" s="12">
        <f>IF(E28="BS",(((I28*3+L28*1)+(Q28*2.25+T28*0.75)+(Y28*3.75+AB28*1.25)+(AG28*3.75+AJ28*1.25)+(AO28*3.75+AR28*1.25)+(AW28*3.75+AZ28*1.25))/(4+3+5*4)),(((I28*3+L28*1)+(Q28*2.25+T28*0.75)+(Y28*3.75+AB28*1.25)+(AG28*3.75+AJ28*1.25)+(AO28*3.75+AR28*1.25)+(AW28*2.5+AZ28*2.5))/(4+3+5*4)))</f>
        <v>2.3444444444444446</v>
      </c>
    </row>
    <row r="29" spans="1:56" x14ac:dyDescent="0.3">
      <c r="A29" s="2">
        <v>35</v>
      </c>
      <c r="B29" s="16">
        <v>793270280020</v>
      </c>
      <c r="C29" s="17">
        <v>12706871</v>
      </c>
      <c r="D29" s="3" t="s">
        <v>291</v>
      </c>
      <c r="E29" s="7" t="s">
        <v>80</v>
      </c>
      <c r="F29" s="20" t="s">
        <v>363</v>
      </c>
      <c r="G29" s="3" t="s">
        <v>328</v>
      </c>
      <c r="H29" s="7">
        <v>50</v>
      </c>
      <c r="I29" s="7" cm="1">
        <f t="array" ref="I29">_xlfn.IFS(H29/75*100&gt;=90,4,H29/75*100&gt;=80,3.6,H29/75*100&gt;=70,3.2,H29/75*100&gt;=60,2.8,H29/75*100&gt;=50,2.4,H29/75*100&gt;=40,2,H29/75*100&gt;=35,1.6,TRUE, 0)</f>
        <v>2.8</v>
      </c>
      <c r="J29" s="7" t="str" cm="1">
        <f t="array" ref="J29">_xlfn.IFS(I29=4,"A+",I29=3.6,"A",I29=3.2,"B+",I29=2.8,"B",I29=2.4,"C+",I29=2,"C",I29=1.6,"D",TRUE,"NG")</f>
        <v>B</v>
      </c>
      <c r="K29" s="7" cm="1">
        <f t="array" ref="K29">_xlfn.IFS(H29&gt;=70,25,H29&gt;=60,24,H29&gt;=50,23,H29&gt;=40,22,H29&gt;=30,21,TRUE,20)</f>
        <v>23</v>
      </c>
      <c r="L29" s="7" cm="1">
        <f t="array" ref="L29">_xlfn.IFS(K29/25*100&gt;=90,4,K29/25*100&gt;=80,3.6,K29/25*100&gt;=70,3.2,K29/25*100&gt;=60,2.8,K29/25*100&gt;=50,2.4,K29/25*100&gt;=40,2,K29/25*100&gt;=35,1.6,TRUE, 0)</f>
        <v>4</v>
      </c>
      <c r="M29" s="7" t="str" cm="1">
        <f t="array" ref="M29">_xlfn.IFS(L29=4,"A+",L29=3.6,"A",L29=3.2,"B+",L29=2.8,"B",L29=2.4,"C+",L29=2,"C",L29=1.6,"D",TRUE,"NG")</f>
        <v>A+</v>
      </c>
      <c r="N29" s="7">
        <f t="shared" si="0"/>
        <v>3.0999999999999996</v>
      </c>
      <c r="O29" s="7" t="str" cm="1">
        <f t="array" ref="O29">_xlfn.IFS(AND(N29&lt;=4,N29&gt;3.6),"A+",AND(N29&lt;=3.6,N29&gt;3.2),"A",AND(N29&lt;=3.2,N29&gt;2.8),"B+",AND(N29&lt;=2.8,N29&gt;2.4),"B",AND(N29&lt;=2.4,N29&gt;2),"C+",AND(N29&lt;=2,N29&gt;1.6),"C",N29=1.6,"D",TRUE,"NG")</f>
        <v>B+</v>
      </c>
      <c r="P29" s="7">
        <v>46</v>
      </c>
      <c r="Q29" s="7" cm="1">
        <f t="array" ref="Q29">_xlfn.IFS(P29/75*100&gt;=90,4,P29/75*100&gt;=80,3.6,P29/75*100&gt;=70,3.2,P29/75*100&gt;=60,2.8,P29/75*100&gt;=50,2.4,P29/75*100&gt;=40,2,P29/75*100&gt;=35,1.6,TRUE, 0)</f>
        <v>2.8</v>
      </c>
      <c r="R29" s="7" t="str" cm="1">
        <f t="array" ref="R29">_xlfn.IFS(Q29=4,"A+",Q29=3.6,"A",Q29=3.2,"B+",Q29=2.8,"B",Q29=2.4,"C+",Q29=2,"C",Q29=1.6,"D",TRUE,"NG")</f>
        <v>B</v>
      </c>
      <c r="S29" s="7" cm="1">
        <f t="array" ref="S29">_xlfn.IFS(P29&gt;=70,25,P29&gt;=60,24,P29&gt;=50,23,P29&gt;=40,22,P29&gt;=30,21,TRUE,20)</f>
        <v>22</v>
      </c>
      <c r="T29" s="7" cm="1">
        <f t="array" ref="T29">_xlfn.IFS(S29/25*100&gt;=90,4,S29/25*100&gt;=80,3.6,S29/25*100&gt;=70,3.2,S29/25*100&gt;=60,2.8,S29/25*100&gt;=50,2.4,S29/25*100&gt;=40,2,S29/25*100&gt;=35,1.6,TRUE, 0)</f>
        <v>3.6</v>
      </c>
      <c r="U29" s="7" t="str" cm="1">
        <f t="array" ref="U29">_xlfn.IFS(T29=4,"A+",T29=3.6,"A",T29=3.2,"B+",T29=2.8,"B",T29=2.4,"C+",T29=2,"C",T29=1.6,"D",TRUE,"NG")</f>
        <v>A</v>
      </c>
      <c r="V29" s="7">
        <f t="shared" si="1"/>
        <v>3</v>
      </c>
      <c r="W29" s="7" t="str" cm="1">
        <f t="array" ref="W29">_xlfn.IFS(AND(V29&lt;=4,V29&gt;3.6),"A+",AND(V29&lt;=3.6,V29&gt;3.2),"A",AND(V29&lt;=3.2,V29&gt;2.8),"B+",AND(V29&lt;=2.8,V29&gt;2.4),"B",AND(V29&lt;=2.4,V29&gt;2),"C+",AND(V29&lt;=2,V29&gt;1.6),"C",V29=1.6,"D",TRUE,"NG")</f>
        <v>B+</v>
      </c>
      <c r="X29" s="7">
        <v>52</v>
      </c>
      <c r="Y29" s="7" cm="1">
        <f t="array" ref="Y29">_xlfn.IFS(X29/75*100&gt;=90,4,X29/75*100&gt;=80,3.6,X29/75*100&gt;=70,3.2,X29/75*100&gt;=60,2.8,X29/75*100&gt;=50,2.4,X29/75*100&gt;=40,2,X29/75*100&gt;=35,1.6,TRUE, 0)</f>
        <v>2.8</v>
      </c>
      <c r="Z29" s="7" t="str" cm="1">
        <f t="array" ref="Z29">_xlfn.IFS(Y29=4,"A+",Y29=3.6,"A",Y29=3.2,"B+",Y29=2.8,"B",Y29=2.4,"C+",Y29=2,"C",Y29=1.6,"D",TRUE,"NG")</f>
        <v>B</v>
      </c>
      <c r="AA29" s="7" cm="1">
        <f t="array" ref="AA29">_xlfn.IFS(X29&gt;=70,25,X29&gt;=60,24,X29&gt;=50,23,X29&gt;=40,22,X29&gt;=30,21,TRUE,20)</f>
        <v>23</v>
      </c>
      <c r="AB29" s="7" cm="1">
        <f t="array" ref="AB29">_xlfn.IFS(AA29/25*100&gt;=90,4,AA29/25*100&gt;=80,3.6,AA29/25*100&gt;=70,3.2,AA29/25*100&gt;=60,2.8,AA29/25*100&gt;=50,2.4,AA29/25*100&gt;=40,2,AA29/25*100&gt;=35,1.6,TRUE, 0)</f>
        <v>4</v>
      </c>
      <c r="AC29" s="7" t="str" cm="1">
        <f t="array" ref="AC29">_xlfn.IFS(AB29=4,"A+",AB29=3.6,"A",AB29=3.2,"B+",AB29=2.8,"B",AB29=2.4,"C+",AB29=2,"C",AB29=1.6,"D",TRUE,"NG")</f>
        <v>A+</v>
      </c>
      <c r="AD29" s="7">
        <f t="shared" si="2"/>
        <v>3.1</v>
      </c>
      <c r="AE29" s="7" t="str" cm="1">
        <f t="array" ref="AE29">_xlfn.IFS(AND(AD29&lt;=4,AD29&gt;3.6),"A+",AND(AD29&lt;=3.6,AD29&gt;3.2),"A",AND(AD29&lt;=3.2,AD29&gt;2.8),"B+",AND(AD29&lt;=2.8,AD29&gt;2.4),"B",AND(AD29&lt;=2.4,AD29&gt;2),"C+",AND(AD29&lt;=2,AD29&gt;1.6),"C",AD29=1.6,"D",TRUE,"NG")</f>
        <v>B+</v>
      </c>
      <c r="AF29" s="7">
        <v>50</v>
      </c>
      <c r="AG29" s="7" cm="1">
        <f t="array" ref="AG29">_xlfn.IFS(AF29/75*100&gt;=90,4,AF29/75*100&gt;=80,3.6,AF29/75*100&gt;=70,3.2,AF29/75*100&gt;=60,2.8,AF29/75*100&gt;=50,2.4,AF29/75*100&gt;=40,2,AF29/75*100&gt;=35,1.6,TRUE, 0)</f>
        <v>2.8</v>
      </c>
      <c r="AH29" s="7" t="str" cm="1">
        <f t="array" ref="AH29">_xlfn.IFS(AG29=4,"A+",AG29=3.6,"A",AG29=3.2,"B+",AG29=2.8,"B",AG29=2.4,"C+",AG29=2,"C",AG29=1.6,"D",TRUE,"NG")</f>
        <v>B</v>
      </c>
      <c r="AI29" s="7" cm="1">
        <f t="array" ref="AI29">_xlfn.IFS(AF29&gt;=70,25,AF29&gt;=60,24,AF29&gt;=50,23,AF29&gt;=40,22,AF29&gt;=30,21,TRUE,20)</f>
        <v>23</v>
      </c>
      <c r="AJ29" s="7" cm="1">
        <f t="array" ref="AJ29">_xlfn.IFS(AI29/25*100&gt;=90,4,AI29/25*100&gt;=80,3.6,AI29/25*100&gt;=70,3.2,AI29/25*100&gt;=60,2.8,AI29/25*100&gt;=50,2.4,AI29/25*100&gt;=40,2,AI29/25*100&gt;=35,1.6,TRUE, 0)</f>
        <v>4</v>
      </c>
      <c r="AK29" s="7" t="str" cm="1">
        <f t="array" ref="AK29">_xlfn.IFS(AJ29=4,"A+",AJ29=3.6,"A",AJ29=3.2,"B+",AJ29=2.8,"B",AJ29=2.4,"C+",AJ29=2,"C",AJ29=1.6,"D",TRUE,"NG")</f>
        <v>A+</v>
      </c>
      <c r="AL29" s="7">
        <f t="shared" si="3"/>
        <v>3.1</v>
      </c>
      <c r="AM29" s="7" t="str" cm="1">
        <f t="array" ref="AM29">_xlfn.IFS(AND(AL29&lt;=4,AL29&gt;3.6),"A+",AND(AL29&lt;=3.6,AL29&gt;3.2),"A",AND(AL29&lt;=3.2,AL29&gt;2.8),"B+",AND(AL29&lt;=2.8,AL29&gt;2.4),"B",AND(AL29&lt;=2.4,AL29&gt;2),"C+",AND(AL29&lt;=2,AL29&gt;1.6),"C",AL29=1.6,"D",TRUE,"NG")</f>
        <v>B+</v>
      </c>
      <c r="AN29" s="7">
        <v>53</v>
      </c>
      <c r="AO29" s="7" cm="1">
        <f t="array" ref="AO29">_xlfn.IFS(AN29/75*100&gt;=90,4,AN29/75*100&gt;=80,3.6,AN29/75*100&gt;=70,3.2,AN29/75*100&gt;=60,2.8,AN29/75*100&gt;=50,2.4,AN29/75*100&gt;=40,2,AN29/75*100&gt;=35,1.6,TRUE, 0)</f>
        <v>3.2</v>
      </c>
      <c r="AP29" s="7" t="str" cm="1">
        <f t="array" ref="AP29">_xlfn.IFS(AO29=4,"A+",AO29=3.6,"A",AO29=3.2,"B+",AO29=2.8,"B",AO29=2.4,"C+",AO29=2,"C",AO29=1.6,"D",TRUE,"NG")</f>
        <v>B+</v>
      </c>
      <c r="AQ29" s="7" cm="1">
        <f t="array" ref="AQ29">_xlfn.IFS(AN29&gt;=70,25,AN29&gt;=60,24,AN29&gt;=50,23,AN29&gt;=40,22,AN29&gt;=30,21,TRUE,20)</f>
        <v>23</v>
      </c>
      <c r="AR29" s="7" cm="1">
        <f t="array" ref="AR29">_xlfn.IFS(AQ29/25*100&gt;=90,4,AQ29/25*100&gt;=80,3.6,AQ29/25*100&gt;=70,3.2,AQ29/25*100&gt;=60,2.8,AQ29/25*100&gt;=50,2.4,AQ29/25*100&gt;=40,2,AQ29/25*100&gt;=35,1.6,TRUE, 0)</f>
        <v>4</v>
      </c>
      <c r="AS29" s="7" t="str" cm="1">
        <f t="array" ref="AS29">_xlfn.IFS(AR29=4,"A+",AR29=3.6,"A",AR29=3.2,"B+",AR29=2.8,"B",AR29=2.4,"C+",AR29=2,"C",AR29=1.6,"D",TRUE,"NG")</f>
        <v>A+</v>
      </c>
      <c r="AT29" s="7">
        <f t="shared" si="4"/>
        <v>3.4</v>
      </c>
      <c r="AU29" s="7" t="str" cm="1">
        <f t="array" ref="AU29">_xlfn.IFS(AND(AT29&lt;=4,AT29&gt;3.6),"A+",AND(AT29&lt;=3.6,AT29&gt;3.2),"A",AND(AT29&lt;=3.2,AT29&gt;2.8),"B+",AND(AT29&lt;=2.8,AT29&gt;2.4),"B",AND(AT29&lt;=2.4,AT29&gt;2),"C+",AND(AT29&lt;=2,AT29&gt;1.6),"C",AT29=1.6,"D",TRUE,"NG")</f>
        <v>A</v>
      </c>
      <c r="AV29" s="7">
        <v>42</v>
      </c>
      <c r="AW29" s="7" cm="1">
        <f t="array" ref="AW29">IF(E29="BS",(_xlfn.IFS(AV29/75*100&gt;=90,4,AV29/75*100&gt;=80,3.6,AV29/75*100&gt;=70,3.2,AV29/75*100&gt;=60,2.8,AV29/75*100&gt;=50,2.4,AV29/75*100&gt;=40,2,AV29/75*100&gt;=35,1.6,TRUE, 0)),(_xlfn.IFS(AV29/50*100&gt;=90,4,AV29/50*100&gt;=80,3.6,AV29/50*100&gt;=70,3.2,AV29/50*100&gt;=60,2.8,AV29/50*100&gt;=50,2.4,AV29/50*100&gt;=40,2,AV29/50*100&gt;=35,1.6,TRUE, 0)))</f>
        <v>3.6</v>
      </c>
      <c r="AX29" s="7" t="str" cm="1">
        <f t="array" ref="AX29">_xlfn.IFS(AW29="-","-",AW29=4,"A+",AW29=3.6,"A",AW29=3.2,"B+",AW29=2.8,"B",AW29=2.4,"C+",AW29=2,"C",AW29=1.6,"D",TRUE,"NG")</f>
        <v>A</v>
      </c>
      <c r="AY29" s="7" cm="1">
        <f t="array" ref="AY29">IF(E29="BS",(_xlfn.IFS(AV29&gt;=70,25,AV29&gt;=60,24,AV29&gt;=50,23,AV29&gt;=40,22,AV29&gt;=30,21,TRUE,20)),(_xlfn.IFS(AV29&gt;=45,48,AV29&gt;=40,46,AV29&gt;=35,44,AV29&gt;=30,40,AV29&gt;=25,38,TRUE,20)))</f>
        <v>46</v>
      </c>
      <c r="AZ29" s="7" cm="1">
        <f t="array" ref="AZ29">IF(E29="BS",(_xlfn.IFS(AY29/25*100&gt;=90,4,AY29/25*100&gt;=80,3.6,AY29/25*100&gt;=70,3.2,AY29/25*100&gt;=60,2.8,AY29/25*100&gt;=50,2.4,AY29/25*100&gt;=40,2,AY29/25*100&gt;=35,1.6,TRUE, 0)),(_xlfn.IFS(AY29/50*100&gt;=90,4,AY29/50*100&gt;=80,3.6,AY29/50*100&gt;=70,3.2,AY29/50*100&gt;=60,2.8,AY29/50*100&gt;=50,2.4,AY29/50*100&gt;=40,2,AY29/50*100&gt;=35,1.6,TRUE, 0)))</f>
        <v>4</v>
      </c>
      <c r="BA29" s="7" t="str" cm="1">
        <f t="array" ref="BA29">_xlfn.IFS(AZ29="-","-",AZ29=4,"A+",AZ29=3.6,"A",AZ29=3.2,"B+",AZ29=2.8,"B",AZ29=2.4,"C+",AZ29=2,"C",AZ29=1.6,"D",TRUE,"NG")</f>
        <v>A+</v>
      </c>
      <c r="BB29" s="7">
        <f>IF(E29="BS",(AW29*3.75+AZ29*1.25)/5,(AW29*2.5+AZ29*2.5)/5)</f>
        <v>3.8</v>
      </c>
      <c r="BC29" s="7" t="str" cm="1">
        <f t="array" ref="BC29">_xlfn.IFS(BB29="-","-",AND(BB29&lt;=4,BB29&gt;3.6),"A+",AND(BB29&lt;=3.6,BB29&gt;3.2),"A",AND(BB29&lt;=3.2,BB29&gt;2.8),"B+",AND(BB29&lt;=2.8,BB29&gt;2.4),"B",AND(BB29&lt;=2.4,BB29&gt;2),"C+",AND(BB29&lt;=2,BB29&gt;1.6),"C",BB29=1.6,"D",TRUE,"NG")</f>
        <v>A+</v>
      </c>
      <c r="BD29" s="12">
        <f>IF(E29="BS",(((I29*3+L29*1)+(Q29*2.25+T29*0.75)+(Y29*3.75+AB29*1.25)+(AG29*3.75+AJ29*1.25)+(AO29*3.75+AR29*1.25)+(AW29*3.75+AZ29*1.25))/(4+3+5*4)),(((I29*3+L29*1)+(Q29*2.25+T29*0.75)+(Y29*3.75+AB29*1.25)+(AG29*3.75+AJ29*1.25)+(AO29*3.75+AR29*1.25)+(AW29*2.5+AZ29*2.5))/(4+3+5*4)))</f>
        <v>3.2740740740740741</v>
      </c>
    </row>
    <row r="30" spans="1:56" x14ac:dyDescent="0.3">
      <c r="A30" s="2">
        <v>36</v>
      </c>
      <c r="B30" s="16">
        <v>793270280021</v>
      </c>
      <c r="C30" s="17">
        <v>12706872</v>
      </c>
      <c r="D30" s="3" t="s">
        <v>292</v>
      </c>
      <c r="E30" s="7" t="s">
        <v>80</v>
      </c>
      <c r="F30" s="20" t="s">
        <v>364</v>
      </c>
      <c r="G30" s="3" t="s">
        <v>329</v>
      </c>
      <c r="H30" s="7">
        <v>68</v>
      </c>
      <c r="I30" s="7" cm="1">
        <f t="array" ref="I30">_xlfn.IFS(H30/75*100&gt;=90,4,H30/75*100&gt;=80,3.6,H30/75*100&gt;=70,3.2,H30/75*100&gt;=60,2.8,H30/75*100&gt;=50,2.4,H30/75*100&gt;=40,2,H30/75*100&gt;=35,1.6,TRUE, 0)</f>
        <v>4</v>
      </c>
      <c r="J30" s="7" t="str" cm="1">
        <f t="array" ref="J30">_xlfn.IFS(I30=4,"A+",I30=3.6,"A",I30=3.2,"B+",I30=2.8,"B",I30=2.4,"C+",I30=2,"C",I30=1.6,"D",TRUE,"NG")</f>
        <v>A+</v>
      </c>
      <c r="K30" s="7" cm="1">
        <f t="array" ref="K30">_xlfn.IFS(H30&gt;=70,25,H30&gt;=60,24,H30&gt;=50,23,H30&gt;=40,22,H30&gt;=30,21,TRUE,20)</f>
        <v>24</v>
      </c>
      <c r="L30" s="7" cm="1">
        <f t="array" ref="L30">_xlfn.IFS(K30/25*100&gt;=90,4,K30/25*100&gt;=80,3.6,K30/25*100&gt;=70,3.2,K30/25*100&gt;=60,2.8,K30/25*100&gt;=50,2.4,K30/25*100&gt;=40,2,K30/25*100&gt;=35,1.6,TRUE, 0)</f>
        <v>4</v>
      </c>
      <c r="M30" s="7" t="str" cm="1">
        <f t="array" ref="M30">_xlfn.IFS(L30=4,"A+",L30=3.6,"A",L30=3.2,"B+",L30=2.8,"B",L30=2.4,"C+",L30=2,"C",L30=1.6,"D",TRUE,"NG")</f>
        <v>A+</v>
      </c>
      <c r="N30" s="7">
        <f t="shared" si="0"/>
        <v>4</v>
      </c>
      <c r="O30" s="7" t="str" cm="1">
        <f t="array" ref="O30">_xlfn.IFS(AND(N30&lt;=4,N30&gt;3.6),"A+",AND(N30&lt;=3.6,N30&gt;3.2),"A",AND(N30&lt;=3.2,N30&gt;2.8),"B+",AND(N30&lt;=2.8,N30&gt;2.4),"B",AND(N30&lt;=2.4,N30&gt;2),"C+",AND(N30&lt;=2,N30&gt;1.6),"C",N30=1.6,"D",TRUE,"NG")</f>
        <v>A+</v>
      </c>
      <c r="P30" s="7">
        <v>55</v>
      </c>
      <c r="Q30" s="7" cm="1">
        <f t="array" ref="Q30">_xlfn.IFS(P30/75*100&gt;=90,4,P30/75*100&gt;=80,3.6,P30/75*100&gt;=70,3.2,P30/75*100&gt;=60,2.8,P30/75*100&gt;=50,2.4,P30/75*100&gt;=40,2,P30/75*100&gt;=35,1.6,TRUE, 0)</f>
        <v>3.2</v>
      </c>
      <c r="R30" s="7" t="str" cm="1">
        <f t="array" ref="R30">_xlfn.IFS(Q30=4,"A+",Q30=3.6,"A",Q30=3.2,"B+",Q30=2.8,"B",Q30=2.4,"C+",Q30=2,"C",Q30=1.6,"D",TRUE,"NG")</f>
        <v>B+</v>
      </c>
      <c r="S30" s="7" cm="1">
        <f t="array" ref="S30">_xlfn.IFS(P30&gt;=70,25,P30&gt;=60,24,P30&gt;=50,23,P30&gt;=40,22,P30&gt;=30,21,TRUE,20)</f>
        <v>23</v>
      </c>
      <c r="T30" s="7" cm="1">
        <f t="array" ref="T30">_xlfn.IFS(S30/25*100&gt;=90,4,S30/25*100&gt;=80,3.6,S30/25*100&gt;=70,3.2,S30/25*100&gt;=60,2.8,S30/25*100&gt;=50,2.4,S30/25*100&gt;=40,2,S30/25*100&gt;=35,1.6,TRUE, 0)</f>
        <v>4</v>
      </c>
      <c r="U30" s="7" t="str" cm="1">
        <f t="array" ref="U30">_xlfn.IFS(T30=4,"A+",T30=3.6,"A",T30=3.2,"B+",T30=2.8,"B",T30=2.4,"C+",T30=2,"C",T30=1.6,"D",TRUE,"NG")</f>
        <v>A+</v>
      </c>
      <c r="V30" s="7">
        <f t="shared" si="1"/>
        <v>3.4</v>
      </c>
      <c r="W30" s="7" t="str" cm="1">
        <f t="array" ref="W30">_xlfn.IFS(AND(V30&lt;=4,V30&gt;3.6),"A+",AND(V30&lt;=3.6,V30&gt;3.2),"A",AND(V30&lt;=3.2,V30&gt;2.8),"B+",AND(V30&lt;=2.8,V30&gt;2.4),"B",AND(V30&lt;=2.4,V30&gt;2),"C+",AND(V30&lt;=2,V30&gt;1.6),"C",V30=1.6,"D",TRUE,"NG")</f>
        <v>A</v>
      </c>
      <c r="X30" s="7">
        <v>64</v>
      </c>
      <c r="Y30" s="7" cm="1">
        <f t="array" ref="Y30">_xlfn.IFS(X30/75*100&gt;=90,4,X30/75*100&gt;=80,3.6,X30/75*100&gt;=70,3.2,X30/75*100&gt;=60,2.8,X30/75*100&gt;=50,2.4,X30/75*100&gt;=40,2,X30/75*100&gt;=35,1.6,TRUE, 0)</f>
        <v>3.6</v>
      </c>
      <c r="Z30" s="7" t="str" cm="1">
        <f t="array" ref="Z30">_xlfn.IFS(Y30=4,"A+",Y30=3.6,"A",Y30=3.2,"B+",Y30=2.8,"B",Y30=2.4,"C+",Y30=2,"C",Y30=1.6,"D",TRUE,"NG")</f>
        <v>A</v>
      </c>
      <c r="AA30" s="7" cm="1">
        <f t="array" ref="AA30">_xlfn.IFS(X30&gt;=70,25,X30&gt;=60,24,X30&gt;=50,23,X30&gt;=40,22,X30&gt;=30,21,TRUE,20)</f>
        <v>24</v>
      </c>
      <c r="AB30" s="7" cm="1">
        <f t="array" ref="AB30">_xlfn.IFS(AA30/25*100&gt;=90,4,AA30/25*100&gt;=80,3.6,AA30/25*100&gt;=70,3.2,AA30/25*100&gt;=60,2.8,AA30/25*100&gt;=50,2.4,AA30/25*100&gt;=40,2,AA30/25*100&gt;=35,1.6,TRUE, 0)</f>
        <v>4</v>
      </c>
      <c r="AC30" s="7" t="str" cm="1">
        <f t="array" ref="AC30">_xlfn.IFS(AB30=4,"A+",AB30=3.6,"A",AB30=3.2,"B+",AB30=2.8,"B",AB30=2.4,"C+",AB30=2,"C",AB30=1.6,"D",TRUE,"NG")</f>
        <v>A+</v>
      </c>
      <c r="AD30" s="7">
        <f t="shared" si="2"/>
        <v>3.7</v>
      </c>
      <c r="AE30" s="7" t="str" cm="1">
        <f t="array" ref="AE30">_xlfn.IFS(AND(AD30&lt;=4,AD30&gt;3.6),"A+",AND(AD30&lt;=3.6,AD30&gt;3.2),"A",AND(AD30&lt;=3.2,AD30&gt;2.8),"B+",AND(AD30&lt;=2.8,AD30&gt;2.4),"B",AND(AD30&lt;=2.4,AD30&gt;2),"C+",AND(AD30&lt;=2,AD30&gt;1.6),"C",AD30=1.6,"D",TRUE,"NG")</f>
        <v>A+</v>
      </c>
      <c r="AF30" s="7">
        <v>66</v>
      </c>
      <c r="AG30" s="7" cm="1">
        <f t="array" ref="AG30">_xlfn.IFS(AF30/75*100&gt;=90,4,AF30/75*100&gt;=80,3.6,AF30/75*100&gt;=70,3.2,AF30/75*100&gt;=60,2.8,AF30/75*100&gt;=50,2.4,AF30/75*100&gt;=40,2,AF30/75*100&gt;=35,1.6,TRUE, 0)</f>
        <v>3.6</v>
      </c>
      <c r="AH30" s="7" t="str" cm="1">
        <f t="array" ref="AH30">_xlfn.IFS(AG30=4,"A+",AG30=3.6,"A",AG30=3.2,"B+",AG30=2.8,"B",AG30=2.4,"C+",AG30=2,"C",AG30=1.6,"D",TRUE,"NG")</f>
        <v>A</v>
      </c>
      <c r="AI30" s="7" cm="1">
        <f t="array" ref="AI30">_xlfn.IFS(AF30&gt;=70,25,AF30&gt;=60,24,AF30&gt;=50,23,AF30&gt;=40,22,AF30&gt;=30,21,TRUE,20)</f>
        <v>24</v>
      </c>
      <c r="AJ30" s="7" cm="1">
        <f t="array" ref="AJ30">_xlfn.IFS(AI30/25*100&gt;=90,4,AI30/25*100&gt;=80,3.6,AI30/25*100&gt;=70,3.2,AI30/25*100&gt;=60,2.8,AI30/25*100&gt;=50,2.4,AI30/25*100&gt;=40,2,AI30/25*100&gt;=35,1.6,TRUE, 0)</f>
        <v>4</v>
      </c>
      <c r="AK30" s="7" t="str" cm="1">
        <f t="array" ref="AK30">_xlfn.IFS(AJ30=4,"A+",AJ30=3.6,"A",AJ30=3.2,"B+",AJ30=2.8,"B",AJ30=2.4,"C+",AJ30=2,"C",AJ30=1.6,"D",TRUE,"NG")</f>
        <v>A+</v>
      </c>
      <c r="AL30" s="7">
        <f t="shared" si="3"/>
        <v>3.7</v>
      </c>
      <c r="AM30" s="7" t="str" cm="1">
        <f t="array" ref="AM30">_xlfn.IFS(AND(AL30&lt;=4,AL30&gt;3.6),"A+",AND(AL30&lt;=3.6,AL30&gt;3.2),"A",AND(AL30&lt;=3.2,AL30&gt;2.8),"B+",AND(AL30&lt;=2.8,AL30&gt;2.4),"B",AND(AL30&lt;=2.4,AL30&gt;2),"C+",AND(AL30&lt;=2,AL30&gt;1.6),"C",AL30=1.6,"D",TRUE,"NG")</f>
        <v>A+</v>
      </c>
      <c r="AN30" s="7">
        <v>68</v>
      </c>
      <c r="AO30" s="7" cm="1">
        <f t="array" ref="AO30">_xlfn.IFS(AN30/75*100&gt;=90,4,AN30/75*100&gt;=80,3.6,AN30/75*100&gt;=70,3.2,AN30/75*100&gt;=60,2.8,AN30/75*100&gt;=50,2.4,AN30/75*100&gt;=40,2,AN30/75*100&gt;=35,1.6,TRUE, 0)</f>
        <v>4</v>
      </c>
      <c r="AP30" s="7" t="str" cm="1">
        <f t="array" ref="AP30">_xlfn.IFS(AO30=4,"A+",AO30=3.6,"A",AO30=3.2,"B+",AO30=2.8,"B",AO30=2.4,"C+",AO30=2,"C",AO30=1.6,"D",TRUE,"NG")</f>
        <v>A+</v>
      </c>
      <c r="AQ30" s="7" cm="1">
        <f t="array" ref="AQ30">_xlfn.IFS(AN30&gt;=70,25,AN30&gt;=60,24,AN30&gt;=50,23,AN30&gt;=40,22,AN30&gt;=30,21,TRUE,20)</f>
        <v>24</v>
      </c>
      <c r="AR30" s="7" cm="1">
        <f t="array" ref="AR30">_xlfn.IFS(AQ30/25*100&gt;=90,4,AQ30/25*100&gt;=80,3.6,AQ30/25*100&gt;=70,3.2,AQ30/25*100&gt;=60,2.8,AQ30/25*100&gt;=50,2.4,AQ30/25*100&gt;=40,2,AQ30/25*100&gt;=35,1.6,TRUE, 0)</f>
        <v>4</v>
      </c>
      <c r="AS30" s="7" t="str" cm="1">
        <f t="array" ref="AS30">_xlfn.IFS(AR30=4,"A+",AR30=3.6,"A",AR30=3.2,"B+",AR30=2.8,"B",AR30=2.4,"C+",AR30=2,"C",AR30=1.6,"D",TRUE,"NG")</f>
        <v>A+</v>
      </c>
      <c r="AT30" s="7">
        <f t="shared" si="4"/>
        <v>4</v>
      </c>
      <c r="AU30" s="7" t="str" cm="1">
        <f t="array" ref="AU30">_xlfn.IFS(AND(AT30&lt;=4,AT30&gt;3.6),"A+",AND(AT30&lt;=3.6,AT30&gt;3.2),"A",AND(AT30&lt;=3.2,AT30&gt;2.8),"B+",AND(AT30&lt;=2.8,AT30&gt;2.4),"B",AND(AT30&lt;=2.4,AT30&gt;2),"C+",AND(AT30&lt;=2,AT30&gt;1.6),"C",AT30=1.6,"D",TRUE,"NG")</f>
        <v>A+</v>
      </c>
      <c r="AV30" s="7">
        <v>46</v>
      </c>
      <c r="AW30" s="7" cm="1">
        <f t="array" ref="AW30">IF(E30="BS",(_xlfn.IFS(AV30/75*100&gt;=90,4,AV30/75*100&gt;=80,3.6,AV30/75*100&gt;=70,3.2,AV30/75*100&gt;=60,2.8,AV30/75*100&gt;=50,2.4,AV30/75*100&gt;=40,2,AV30/75*100&gt;=35,1.6,TRUE, 0)),(_xlfn.IFS(AV30/50*100&gt;=90,4,AV30/50*100&gt;=80,3.6,AV30/50*100&gt;=70,3.2,AV30/50*100&gt;=60,2.8,AV30/50*100&gt;=50,2.4,AV30/50*100&gt;=40,2,AV30/50*100&gt;=35,1.6,TRUE, 0)))</f>
        <v>4</v>
      </c>
      <c r="AX30" s="7" t="str" cm="1">
        <f t="array" ref="AX30">_xlfn.IFS(AW30="-","-",AW30=4,"A+",AW30=3.6,"A",AW30=3.2,"B+",AW30=2.8,"B",AW30=2.4,"C+",AW30=2,"C",AW30=1.6,"D",TRUE,"NG")</f>
        <v>A+</v>
      </c>
      <c r="AY30" s="7" cm="1">
        <f t="array" ref="AY30">IF(E30="BS",(_xlfn.IFS(AV30&gt;=70,25,AV30&gt;=60,24,AV30&gt;=50,23,AV30&gt;=40,22,AV30&gt;=30,21,TRUE,20)),(_xlfn.IFS(AV30&gt;=45,48,AV30&gt;=40,46,AV30&gt;=35,44,AV30&gt;=30,40,AV30&gt;=25,38,TRUE,20)))</f>
        <v>48</v>
      </c>
      <c r="AZ30" s="7" cm="1">
        <f t="array" ref="AZ30">IF(E30="BS",(_xlfn.IFS(AY30/25*100&gt;=90,4,AY30/25*100&gt;=80,3.6,AY30/25*100&gt;=70,3.2,AY30/25*100&gt;=60,2.8,AY30/25*100&gt;=50,2.4,AY30/25*100&gt;=40,2,AY30/25*100&gt;=35,1.6,TRUE, 0)),(_xlfn.IFS(AY30/50*100&gt;=90,4,AY30/50*100&gt;=80,3.6,AY30/50*100&gt;=70,3.2,AY30/50*100&gt;=60,2.8,AY30/50*100&gt;=50,2.4,AY30/50*100&gt;=40,2,AY30/50*100&gt;=35,1.6,TRUE, 0)))</f>
        <v>4</v>
      </c>
      <c r="BA30" s="7" t="str" cm="1">
        <f t="array" ref="BA30">_xlfn.IFS(AZ30="-","-",AZ30=4,"A+",AZ30=3.6,"A",AZ30=3.2,"B+",AZ30=2.8,"B",AZ30=2.4,"C+",AZ30=2,"C",AZ30=1.6,"D",TRUE,"NG")</f>
        <v>A+</v>
      </c>
      <c r="BB30" s="7">
        <f>IF(E30="BS",(AW30*3.75+AZ30*1.25)/5,(AW30*2.5+AZ30*2.5)/5)</f>
        <v>4</v>
      </c>
      <c r="BC30" s="7" t="str" cm="1">
        <f t="array" ref="BC30">_xlfn.IFS(BB30="-","-",AND(BB30&lt;=4,BB30&gt;3.6),"A+",AND(BB30&lt;=3.6,BB30&gt;3.2),"A",AND(BB30&lt;=3.2,BB30&gt;2.8),"B+",AND(BB30&lt;=2.8,BB30&gt;2.4),"B",AND(BB30&lt;=2.4,BB30&gt;2),"C+",AND(BB30&lt;=2,BB30&gt;1.6),"C",BB30=1.6,"D",TRUE,"NG")</f>
        <v>A+</v>
      </c>
      <c r="BD30" s="12">
        <f>IF(E30="BS",(((I30*3+L30*1)+(Q30*2.25+T30*0.75)+(Y30*3.75+AB30*1.25)+(AG30*3.75+AJ30*1.25)+(AO30*3.75+AR30*1.25)+(AW30*3.75+AZ30*1.25))/(4+3+5*4)),(((I30*3+L30*1)+(Q30*2.25+T30*0.75)+(Y30*3.75+AB30*1.25)+(AG30*3.75+AJ30*1.25)+(AO30*3.75+AR30*1.25)+(AW30*2.5+AZ30*2.5))/(4+3+5*4)))</f>
        <v>3.8222222222222224</v>
      </c>
    </row>
    <row r="31" spans="1:56" x14ac:dyDescent="0.3">
      <c r="A31" s="2">
        <v>37</v>
      </c>
      <c r="B31" s="16">
        <v>793270280022</v>
      </c>
      <c r="C31" s="17">
        <v>12706873</v>
      </c>
      <c r="D31" s="6" t="s">
        <v>293</v>
      </c>
      <c r="E31" s="7" t="s">
        <v>80</v>
      </c>
      <c r="F31" s="20" t="s">
        <v>301</v>
      </c>
      <c r="G31" s="15" t="s">
        <v>330</v>
      </c>
      <c r="H31" s="7">
        <v>51</v>
      </c>
      <c r="I31" s="7" cm="1">
        <f t="array" ref="I31">_xlfn.IFS(H31/75*100&gt;=90,4,H31/75*100&gt;=80,3.6,H31/75*100&gt;=70,3.2,H31/75*100&gt;=60,2.8,H31/75*100&gt;=50,2.4,H31/75*100&gt;=40,2,H31/75*100&gt;=35,1.6,TRUE, 0)</f>
        <v>2.8</v>
      </c>
      <c r="J31" s="7" t="str" cm="1">
        <f t="array" ref="J31">_xlfn.IFS(I31=4,"A+",I31=3.6,"A",I31=3.2,"B+",I31=2.8,"B",I31=2.4,"C+",I31=2,"C",I31=1.6,"D",TRUE,"NG")</f>
        <v>B</v>
      </c>
      <c r="K31" s="7" cm="1">
        <f t="array" ref="K31">_xlfn.IFS(H31&gt;=70,25,H31&gt;=60,24,H31&gt;=50,23,H31&gt;=40,22,H31&gt;=30,21,TRUE,20)</f>
        <v>23</v>
      </c>
      <c r="L31" s="7" cm="1">
        <f t="array" ref="L31">_xlfn.IFS(K31/25*100&gt;=90,4,K31/25*100&gt;=80,3.6,K31/25*100&gt;=70,3.2,K31/25*100&gt;=60,2.8,K31/25*100&gt;=50,2.4,K31/25*100&gt;=40,2,K31/25*100&gt;=35,1.6,TRUE, 0)</f>
        <v>4</v>
      </c>
      <c r="M31" s="7" t="str" cm="1">
        <f t="array" ref="M31">_xlfn.IFS(L31=4,"A+",L31=3.6,"A",L31=3.2,"B+",L31=2.8,"B",L31=2.4,"C+",L31=2,"C",L31=1.6,"D",TRUE,"NG")</f>
        <v>A+</v>
      </c>
      <c r="N31" s="7">
        <f t="shared" ref="N31:N37" si="5">(I31*3+L31*1)/4</f>
        <v>3.0999999999999996</v>
      </c>
      <c r="O31" s="7" t="str" cm="1">
        <f t="array" ref="O31">_xlfn.IFS(AND(N31&lt;=4,N31&gt;3.6),"A+",AND(N31&lt;=3.6,N31&gt;3.2),"A",AND(N31&lt;=3.2,N31&gt;2.8),"B+",AND(N31&lt;=2.8,N31&gt;2.4),"B",AND(N31&lt;=2.4,N31&gt;2),"C+",AND(N31&lt;=2,N31&gt;1.6),"C",N31=1.6,"D",TRUE,"NG")</f>
        <v>B+</v>
      </c>
      <c r="P31" s="7">
        <v>54</v>
      </c>
      <c r="Q31" s="7" cm="1">
        <f t="array" ref="Q31">_xlfn.IFS(P31/75*100&gt;=90,4,P31/75*100&gt;=80,3.6,P31/75*100&gt;=70,3.2,P31/75*100&gt;=60,2.8,P31/75*100&gt;=50,2.4,P31/75*100&gt;=40,2,P31/75*100&gt;=35,1.6,TRUE, 0)</f>
        <v>3.2</v>
      </c>
      <c r="R31" s="7" t="str" cm="1">
        <f t="array" ref="R31">_xlfn.IFS(Q31=4,"A+",Q31=3.6,"A",Q31=3.2,"B+",Q31=2.8,"B",Q31=2.4,"C+",Q31=2,"C",Q31=1.6,"D",TRUE,"NG")</f>
        <v>B+</v>
      </c>
      <c r="S31" s="7" cm="1">
        <f t="array" ref="S31">_xlfn.IFS(P31&gt;=70,25,P31&gt;=60,24,P31&gt;=50,23,P31&gt;=40,22,P31&gt;=30,21,TRUE,20)</f>
        <v>23</v>
      </c>
      <c r="T31" s="7" cm="1">
        <f t="array" ref="T31">_xlfn.IFS(S31/25*100&gt;=90,4,S31/25*100&gt;=80,3.6,S31/25*100&gt;=70,3.2,S31/25*100&gt;=60,2.8,S31/25*100&gt;=50,2.4,S31/25*100&gt;=40,2,S31/25*100&gt;=35,1.6,TRUE, 0)</f>
        <v>4</v>
      </c>
      <c r="U31" s="7" t="str" cm="1">
        <f t="array" ref="U31">_xlfn.IFS(T31=4,"A+",T31=3.6,"A",T31=3.2,"B+",T31=2.8,"B",T31=2.4,"C+",T31=2,"C",T31=1.6,"D",TRUE,"NG")</f>
        <v>A+</v>
      </c>
      <c r="V31" s="7">
        <f t="shared" ref="V31:V37" si="6">(Q31*2.25+T31*0.75)/3</f>
        <v>3.4</v>
      </c>
      <c r="W31" s="7" t="str" cm="1">
        <f t="array" ref="W31">_xlfn.IFS(AND(V31&lt;=4,V31&gt;3.6),"A+",AND(V31&lt;=3.6,V31&gt;3.2),"A",AND(V31&lt;=3.2,V31&gt;2.8),"B+",AND(V31&lt;=2.8,V31&gt;2.4),"B",AND(V31&lt;=2.4,V31&gt;2),"C+",AND(V31&lt;=2,V31&gt;1.6),"C",V31=1.6,"D",TRUE,"NG")</f>
        <v>A</v>
      </c>
      <c r="X31" s="7">
        <v>40</v>
      </c>
      <c r="Y31" s="7" cm="1">
        <f t="array" ref="Y31">_xlfn.IFS(X31/75*100&gt;=90,4,X31/75*100&gt;=80,3.6,X31/75*100&gt;=70,3.2,X31/75*100&gt;=60,2.8,X31/75*100&gt;=50,2.4,X31/75*100&gt;=40,2,X31/75*100&gt;=35,1.6,TRUE, 0)</f>
        <v>2.4</v>
      </c>
      <c r="Z31" s="7" t="str" cm="1">
        <f t="array" ref="Z31">_xlfn.IFS(Y31=4,"A+",Y31=3.6,"A",Y31=3.2,"B+",Y31=2.8,"B",Y31=2.4,"C+",Y31=2,"C",Y31=1.6,"D",TRUE,"NG")</f>
        <v>C+</v>
      </c>
      <c r="AA31" s="7" cm="1">
        <f t="array" ref="AA31">_xlfn.IFS(X31&gt;=70,25,X31&gt;=60,24,X31&gt;=50,23,X31&gt;=40,22,X31&gt;=30,21,TRUE,20)</f>
        <v>22</v>
      </c>
      <c r="AB31" s="7" cm="1">
        <f t="array" ref="AB31">_xlfn.IFS(AA31/25*100&gt;=90,4,AA31/25*100&gt;=80,3.6,AA31/25*100&gt;=70,3.2,AA31/25*100&gt;=60,2.8,AA31/25*100&gt;=50,2.4,AA31/25*100&gt;=40,2,AA31/25*100&gt;=35,1.6,TRUE, 0)</f>
        <v>3.6</v>
      </c>
      <c r="AC31" s="7" t="str" cm="1">
        <f t="array" ref="AC31">_xlfn.IFS(AB31=4,"A+",AB31=3.6,"A",AB31=3.2,"B+",AB31=2.8,"B",AB31=2.4,"C+",AB31=2,"C",AB31=1.6,"D",TRUE,"NG")</f>
        <v>A</v>
      </c>
      <c r="AD31" s="7">
        <f t="shared" ref="AD31:AD37" si="7">(Y31*3.75+AB31*1.25)/5</f>
        <v>2.7</v>
      </c>
      <c r="AE31" s="7" t="str" cm="1">
        <f t="array" ref="AE31">_xlfn.IFS(AND(AD31&lt;=4,AD31&gt;3.6),"A+",AND(AD31&lt;=3.6,AD31&gt;3.2),"A",AND(AD31&lt;=3.2,AD31&gt;2.8),"B+",AND(AD31&lt;=2.8,AD31&gt;2.4),"B",AND(AD31&lt;=2.4,AD31&gt;2),"C+",AND(AD31&lt;=2,AD31&gt;1.6),"C",AD31=1.6,"D",TRUE,"NG")</f>
        <v>B</v>
      </c>
      <c r="AF31" s="7">
        <v>57</v>
      </c>
      <c r="AG31" s="7" cm="1">
        <f t="array" ref="AG31">_xlfn.IFS(AF31/75*100&gt;=90,4,AF31/75*100&gt;=80,3.6,AF31/75*100&gt;=70,3.2,AF31/75*100&gt;=60,2.8,AF31/75*100&gt;=50,2.4,AF31/75*100&gt;=40,2,AF31/75*100&gt;=35,1.6,TRUE, 0)</f>
        <v>3.2</v>
      </c>
      <c r="AH31" s="7" t="str" cm="1">
        <f t="array" ref="AH31">_xlfn.IFS(AG31=4,"A+",AG31=3.6,"A",AG31=3.2,"B+",AG31=2.8,"B",AG31=2.4,"C+",AG31=2,"C",AG31=1.6,"D",TRUE,"NG")</f>
        <v>B+</v>
      </c>
      <c r="AI31" s="7" cm="1">
        <f t="array" ref="AI31">_xlfn.IFS(AF31&gt;=70,25,AF31&gt;=60,24,AF31&gt;=50,23,AF31&gt;=40,22,AF31&gt;=30,21,TRUE,20)</f>
        <v>23</v>
      </c>
      <c r="AJ31" s="7" cm="1">
        <f t="array" ref="AJ31">_xlfn.IFS(AI31/25*100&gt;=90,4,AI31/25*100&gt;=80,3.6,AI31/25*100&gt;=70,3.2,AI31/25*100&gt;=60,2.8,AI31/25*100&gt;=50,2.4,AI31/25*100&gt;=40,2,AI31/25*100&gt;=35,1.6,TRUE, 0)</f>
        <v>4</v>
      </c>
      <c r="AK31" s="7" t="str" cm="1">
        <f t="array" ref="AK31">_xlfn.IFS(AJ31=4,"A+",AJ31=3.6,"A",AJ31=3.2,"B+",AJ31=2.8,"B",AJ31=2.4,"C+",AJ31=2,"C",AJ31=1.6,"D",TRUE,"NG")</f>
        <v>A+</v>
      </c>
      <c r="AL31" s="7">
        <f t="shared" ref="AL31:AL37" si="8">(AG31*3.75+AJ31*1.25)/5</f>
        <v>3.4</v>
      </c>
      <c r="AM31" s="7" t="str" cm="1">
        <f t="array" ref="AM31">_xlfn.IFS(AND(AL31&lt;=4,AL31&gt;3.6),"A+",AND(AL31&lt;=3.6,AL31&gt;3.2),"A",AND(AL31&lt;=3.2,AL31&gt;2.8),"B+",AND(AL31&lt;=2.8,AL31&gt;2.4),"B",AND(AL31&lt;=2.4,AL31&gt;2),"C+",AND(AL31&lt;=2,AL31&gt;1.6),"C",AL31=1.6,"D",TRUE,"NG")</f>
        <v>A</v>
      </c>
      <c r="AN31" s="7">
        <v>64</v>
      </c>
      <c r="AO31" s="7" cm="1">
        <f t="array" ref="AO31">_xlfn.IFS(AN31/75*100&gt;=90,4,AN31/75*100&gt;=80,3.6,AN31/75*100&gt;=70,3.2,AN31/75*100&gt;=60,2.8,AN31/75*100&gt;=50,2.4,AN31/75*100&gt;=40,2,AN31/75*100&gt;=35,1.6,TRUE, 0)</f>
        <v>3.6</v>
      </c>
      <c r="AP31" s="7" t="str" cm="1">
        <f t="array" ref="AP31">_xlfn.IFS(AO31=4,"A+",AO31=3.6,"A",AO31=3.2,"B+",AO31=2.8,"B",AO31=2.4,"C+",AO31=2,"C",AO31=1.6,"D",TRUE,"NG")</f>
        <v>A</v>
      </c>
      <c r="AQ31" s="7" cm="1">
        <f t="array" ref="AQ31">_xlfn.IFS(AN31&gt;=70,25,AN31&gt;=60,24,AN31&gt;=50,23,AN31&gt;=40,22,AN31&gt;=30,21,TRUE,20)</f>
        <v>24</v>
      </c>
      <c r="AR31" s="7" cm="1">
        <f t="array" ref="AR31">_xlfn.IFS(AQ31/25*100&gt;=90,4,AQ31/25*100&gt;=80,3.6,AQ31/25*100&gt;=70,3.2,AQ31/25*100&gt;=60,2.8,AQ31/25*100&gt;=50,2.4,AQ31/25*100&gt;=40,2,AQ31/25*100&gt;=35,1.6,TRUE, 0)</f>
        <v>4</v>
      </c>
      <c r="AS31" s="7" t="str" cm="1">
        <f t="array" ref="AS31">_xlfn.IFS(AR31=4,"A+",AR31=3.6,"A",AR31=3.2,"B+",AR31=2.8,"B",AR31=2.4,"C+",AR31=2,"C",AR31=1.6,"D",TRUE,"NG")</f>
        <v>A+</v>
      </c>
      <c r="AT31" s="7">
        <f t="shared" ref="AT31:AT37" si="9">(AO31*3.75+AR31*1.25)/5</f>
        <v>3.7</v>
      </c>
      <c r="AU31" s="7" t="str" cm="1">
        <f t="array" ref="AU31">_xlfn.IFS(AND(AT31&lt;=4,AT31&gt;3.6),"A+",AND(AT31&lt;=3.6,AT31&gt;3.2),"A",AND(AT31&lt;=3.2,AT31&gt;2.8),"B+",AND(AT31&lt;=2.8,AT31&gt;2.4),"B",AND(AT31&lt;=2.4,AT31&gt;2),"C+",AND(AT31&lt;=2,AT31&gt;1.6),"C",AT31=1.6,"D",TRUE,"NG")</f>
        <v>A+</v>
      </c>
      <c r="AV31" s="7">
        <v>42</v>
      </c>
      <c r="AW31" s="7" cm="1">
        <f t="array" ref="AW31">IF(E31="BS",(_xlfn.IFS(AV31/75*100&gt;=90,4,AV31/75*100&gt;=80,3.6,AV31/75*100&gt;=70,3.2,AV31/75*100&gt;=60,2.8,AV31/75*100&gt;=50,2.4,AV31/75*100&gt;=40,2,AV31/75*100&gt;=35,1.6,TRUE, 0)),(_xlfn.IFS(AV31/50*100&gt;=90,4,AV31/50*100&gt;=80,3.6,AV31/50*100&gt;=70,3.2,AV31/50*100&gt;=60,2.8,AV31/50*100&gt;=50,2.4,AV31/50*100&gt;=40,2,AV31/50*100&gt;=35,1.6,TRUE, 0)))</f>
        <v>3.6</v>
      </c>
      <c r="AX31" s="7" t="str" cm="1">
        <f t="array" ref="AX31">_xlfn.IFS(AW31="-","-",AW31=4,"A+",AW31=3.6,"A",AW31=3.2,"B+",AW31=2.8,"B",AW31=2.4,"C+",AW31=2,"C",AW31=1.6,"D",TRUE,"NG")</f>
        <v>A</v>
      </c>
      <c r="AY31" s="7" cm="1">
        <f t="array" ref="AY31">IF(E31="BS",(_xlfn.IFS(AV31&gt;=70,25,AV31&gt;=60,24,AV31&gt;=50,23,AV31&gt;=40,22,AV31&gt;=30,21,TRUE,20)),(_xlfn.IFS(AV31&gt;=45,48,AV31&gt;=40,46,AV31&gt;=35,44,AV31&gt;=30,40,AV31&gt;=25,38,TRUE,20)))</f>
        <v>46</v>
      </c>
      <c r="AZ31" s="7" cm="1">
        <f t="array" ref="AZ31">IF(E31="BS",(_xlfn.IFS(AY31/25*100&gt;=90,4,AY31/25*100&gt;=80,3.6,AY31/25*100&gt;=70,3.2,AY31/25*100&gt;=60,2.8,AY31/25*100&gt;=50,2.4,AY31/25*100&gt;=40,2,AY31/25*100&gt;=35,1.6,TRUE, 0)),(_xlfn.IFS(AY31/50*100&gt;=90,4,AY31/50*100&gt;=80,3.6,AY31/50*100&gt;=70,3.2,AY31/50*100&gt;=60,2.8,AY31/50*100&gt;=50,2.4,AY31/50*100&gt;=40,2,AY31/50*100&gt;=35,1.6,TRUE, 0)))</f>
        <v>4</v>
      </c>
      <c r="BA31" s="7" t="str" cm="1">
        <f t="array" ref="BA31">_xlfn.IFS(AZ31="-","-",AZ31=4,"A+",AZ31=3.6,"A",AZ31=3.2,"B+",AZ31=2.8,"B",AZ31=2.4,"C+",AZ31=2,"C",AZ31=1.6,"D",TRUE,"NG")</f>
        <v>A+</v>
      </c>
      <c r="BB31" s="7">
        <f>IF(E31="BS",(AW31*3.75+AZ31*1.25)/5,(AW31*2.5+AZ31*2.5)/5)</f>
        <v>3.8</v>
      </c>
      <c r="BC31" s="7" t="str" cm="1">
        <f t="array" ref="BC31">_xlfn.IFS(BB31="-","-",AND(BB31&lt;=4,BB31&gt;3.6),"A+",AND(BB31&lt;=3.6,BB31&gt;3.2),"A",AND(BB31&lt;=3.2,BB31&gt;2.8),"B+",AND(BB31&lt;=2.8,BB31&gt;2.4),"B",AND(BB31&lt;=2.4,BB31&gt;2),"C+",AND(BB31&lt;=2,BB31&gt;1.6),"C",BB31=1.6,"D",TRUE,"NG")</f>
        <v>A+</v>
      </c>
      <c r="BD31" s="12">
        <f>IF(E31="BS",(((I31*3+L31*1)+(Q31*2.25+T31*0.75)+(Y31*3.75+AB31*1.25)+(AG31*3.75+AJ31*1.25)+(AO31*3.75+AR31*1.25)+(AW31*3.75+AZ31*1.25))/(4+3+5*4)),(((I31*3+L31*1)+(Q31*2.25+T31*0.75)+(Y31*3.75+AB31*1.25)+(AG31*3.75+AJ31*1.25)+(AO31*3.75+AR31*1.25)+(AW31*2.5+AZ31*2.5))/(4+3+5*4)))</f>
        <v>3.3555555555555552</v>
      </c>
    </row>
    <row r="32" spans="1:56" x14ac:dyDescent="0.3">
      <c r="A32" s="2">
        <v>38</v>
      </c>
      <c r="B32" s="16">
        <v>793270280024</v>
      </c>
      <c r="C32" s="17">
        <v>12706875</v>
      </c>
      <c r="D32" s="6" t="s">
        <v>294</v>
      </c>
      <c r="E32" s="7" t="s">
        <v>80</v>
      </c>
      <c r="F32" s="20" t="s">
        <v>365</v>
      </c>
      <c r="G32" s="3" t="s">
        <v>331</v>
      </c>
      <c r="H32" s="7">
        <v>65</v>
      </c>
      <c r="I32" s="7" cm="1">
        <f t="array" ref="I32">_xlfn.IFS(H32/75*100&gt;=90,4,H32/75*100&gt;=80,3.6,H32/75*100&gt;=70,3.2,H32/75*100&gt;=60,2.8,H32/75*100&gt;=50,2.4,H32/75*100&gt;=40,2,H32/75*100&gt;=35,1.6,TRUE, 0)</f>
        <v>3.6</v>
      </c>
      <c r="J32" s="7" t="str" cm="1">
        <f t="array" ref="J32">_xlfn.IFS(I32=4,"A+",I32=3.6,"A",I32=3.2,"B+",I32=2.8,"B",I32=2.4,"C+",I32=2,"C",I32=1.6,"D",TRUE,"NG")</f>
        <v>A</v>
      </c>
      <c r="K32" s="7" cm="1">
        <f t="array" ref="K32">_xlfn.IFS(H32&gt;=70,25,H32&gt;=60,24,H32&gt;=50,23,H32&gt;=40,22,H32&gt;=30,21,TRUE,20)</f>
        <v>24</v>
      </c>
      <c r="L32" s="7" cm="1">
        <f t="array" ref="L32">_xlfn.IFS(K32/25*100&gt;=90,4,K32/25*100&gt;=80,3.6,K32/25*100&gt;=70,3.2,K32/25*100&gt;=60,2.8,K32/25*100&gt;=50,2.4,K32/25*100&gt;=40,2,K32/25*100&gt;=35,1.6,TRUE, 0)</f>
        <v>4</v>
      </c>
      <c r="M32" s="7" t="str" cm="1">
        <f t="array" ref="M32">_xlfn.IFS(L32=4,"A+",L32=3.6,"A",L32=3.2,"B+",L32=2.8,"B",L32=2.4,"C+",L32=2,"C",L32=1.6,"D",TRUE,"NG")</f>
        <v>A+</v>
      </c>
      <c r="N32" s="7">
        <f t="shared" si="5"/>
        <v>3.7</v>
      </c>
      <c r="O32" s="7" t="str" cm="1">
        <f t="array" ref="O32">_xlfn.IFS(AND(N32&lt;=4,N32&gt;3.6),"A+",AND(N32&lt;=3.6,N32&gt;3.2),"A",AND(N32&lt;=3.2,N32&gt;2.8),"B+",AND(N32&lt;=2.8,N32&gt;2.4),"B",AND(N32&lt;=2.4,N32&gt;2),"C+",AND(N32&lt;=2,N32&gt;1.6),"C",N32=1.6,"D",TRUE,"NG")</f>
        <v>A+</v>
      </c>
      <c r="P32" s="7">
        <v>47</v>
      </c>
      <c r="Q32" s="7" cm="1">
        <f t="array" ref="Q32">_xlfn.IFS(P32/75*100&gt;=90,4,P32/75*100&gt;=80,3.6,P32/75*100&gt;=70,3.2,P32/75*100&gt;=60,2.8,P32/75*100&gt;=50,2.4,P32/75*100&gt;=40,2,P32/75*100&gt;=35,1.6,TRUE, 0)</f>
        <v>2.8</v>
      </c>
      <c r="R32" s="7" t="str" cm="1">
        <f t="array" ref="R32">_xlfn.IFS(Q32=4,"A+",Q32=3.6,"A",Q32=3.2,"B+",Q32=2.8,"B",Q32=2.4,"C+",Q32=2,"C",Q32=1.6,"D",TRUE,"NG")</f>
        <v>B</v>
      </c>
      <c r="S32" s="7" cm="1">
        <f t="array" ref="S32">_xlfn.IFS(P32&gt;=70,25,P32&gt;=60,24,P32&gt;=50,23,P32&gt;=40,22,P32&gt;=30,21,TRUE,20)</f>
        <v>22</v>
      </c>
      <c r="T32" s="7" cm="1">
        <f t="array" ref="T32">_xlfn.IFS(S32/25*100&gt;=90,4,S32/25*100&gt;=80,3.6,S32/25*100&gt;=70,3.2,S32/25*100&gt;=60,2.8,S32/25*100&gt;=50,2.4,S32/25*100&gt;=40,2,S32/25*100&gt;=35,1.6,TRUE, 0)</f>
        <v>3.6</v>
      </c>
      <c r="U32" s="7" t="str" cm="1">
        <f t="array" ref="U32">_xlfn.IFS(T32=4,"A+",T32=3.6,"A",T32=3.2,"B+",T32=2.8,"B",T32=2.4,"C+",T32=2,"C",T32=1.6,"D",TRUE,"NG")</f>
        <v>A</v>
      </c>
      <c r="V32" s="7">
        <f t="shared" si="6"/>
        <v>3</v>
      </c>
      <c r="W32" s="7" t="str" cm="1">
        <f t="array" ref="W32">_xlfn.IFS(AND(V32&lt;=4,V32&gt;3.6),"A+",AND(V32&lt;=3.6,V32&gt;3.2),"A",AND(V32&lt;=3.2,V32&gt;2.8),"B+",AND(V32&lt;=2.8,V32&gt;2.4),"B",AND(V32&lt;=2.4,V32&gt;2),"C+",AND(V32&lt;=2,V32&gt;1.6),"C",V32=1.6,"D",TRUE,"NG")</f>
        <v>B+</v>
      </c>
      <c r="X32" s="7">
        <v>34</v>
      </c>
      <c r="Y32" s="7" cm="1">
        <f t="array" ref="Y32">_xlfn.IFS(X32/75*100&gt;=90,4,X32/75*100&gt;=80,3.6,X32/75*100&gt;=70,3.2,X32/75*100&gt;=60,2.8,X32/75*100&gt;=50,2.4,X32/75*100&gt;=40,2,X32/75*100&gt;=35,1.6,TRUE, 0)</f>
        <v>2</v>
      </c>
      <c r="Z32" s="7" t="str" cm="1">
        <f t="array" ref="Z32">_xlfn.IFS(Y32=4,"A+",Y32=3.6,"A",Y32=3.2,"B+",Y32=2.8,"B",Y32=2.4,"C+",Y32=2,"C",Y32=1.6,"D",TRUE,"NG")</f>
        <v>C</v>
      </c>
      <c r="AA32" s="7" cm="1">
        <f t="array" ref="AA32">_xlfn.IFS(X32&gt;=70,25,X32&gt;=60,24,X32&gt;=50,23,X32&gt;=40,22,X32&gt;=30,21,TRUE,20)</f>
        <v>21</v>
      </c>
      <c r="AB32" s="7" cm="1">
        <f t="array" ref="AB32">_xlfn.IFS(AA32/25*100&gt;=90,4,AA32/25*100&gt;=80,3.6,AA32/25*100&gt;=70,3.2,AA32/25*100&gt;=60,2.8,AA32/25*100&gt;=50,2.4,AA32/25*100&gt;=40,2,AA32/25*100&gt;=35,1.6,TRUE, 0)</f>
        <v>3.6</v>
      </c>
      <c r="AC32" s="7" t="str" cm="1">
        <f t="array" ref="AC32">_xlfn.IFS(AB32=4,"A+",AB32=3.6,"A",AB32=3.2,"B+",AB32=2.8,"B",AB32=2.4,"C+",AB32=2,"C",AB32=1.6,"D",TRUE,"NG")</f>
        <v>A</v>
      </c>
      <c r="AD32" s="7">
        <f t="shared" si="7"/>
        <v>2.4</v>
      </c>
      <c r="AE32" s="7" t="str" cm="1">
        <f t="array" ref="AE32">_xlfn.IFS(AND(AD32&lt;=4,AD32&gt;3.6),"A+",AND(AD32&lt;=3.6,AD32&gt;3.2),"A",AND(AD32&lt;=3.2,AD32&gt;2.8),"B+",AND(AD32&lt;=2.8,AD32&gt;2.4),"B",AND(AD32&lt;=2.4,AD32&gt;2),"C+",AND(AD32&lt;=2,AD32&gt;1.6),"C",AD32=1.6,"D",TRUE,"NG")</f>
        <v>C+</v>
      </c>
      <c r="AF32" s="7">
        <v>54</v>
      </c>
      <c r="AG32" s="7" cm="1">
        <f t="array" ref="AG32">_xlfn.IFS(AF32/75*100&gt;=90,4,AF32/75*100&gt;=80,3.6,AF32/75*100&gt;=70,3.2,AF32/75*100&gt;=60,2.8,AF32/75*100&gt;=50,2.4,AF32/75*100&gt;=40,2,AF32/75*100&gt;=35,1.6,TRUE, 0)</f>
        <v>3.2</v>
      </c>
      <c r="AH32" s="7" t="str" cm="1">
        <f t="array" ref="AH32">_xlfn.IFS(AG32=4,"A+",AG32=3.6,"A",AG32=3.2,"B+",AG32=2.8,"B",AG32=2.4,"C+",AG32=2,"C",AG32=1.6,"D",TRUE,"NG")</f>
        <v>B+</v>
      </c>
      <c r="AI32" s="7" cm="1">
        <f t="array" ref="AI32">_xlfn.IFS(AF32&gt;=70,25,AF32&gt;=60,24,AF32&gt;=50,23,AF32&gt;=40,22,AF32&gt;=30,21,TRUE,20)</f>
        <v>23</v>
      </c>
      <c r="AJ32" s="7" cm="1">
        <f t="array" ref="AJ32">_xlfn.IFS(AI32/25*100&gt;=90,4,AI32/25*100&gt;=80,3.6,AI32/25*100&gt;=70,3.2,AI32/25*100&gt;=60,2.8,AI32/25*100&gt;=50,2.4,AI32/25*100&gt;=40,2,AI32/25*100&gt;=35,1.6,TRUE, 0)</f>
        <v>4</v>
      </c>
      <c r="AK32" s="7" t="str" cm="1">
        <f t="array" ref="AK32">_xlfn.IFS(AJ32=4,"A+",AJ32=3.6,"A",AJ32=3.2,"B+",AJ32=2.8,"B",AJ32=2.4,"C+",AJ32=2,"C",AJ32=1.6,"D",TRUE,"NG")</f>
        <v>A+</v>
      </c>
      <c r="AL32" s="7">
        <f t="shared" si="8"/>
        <v>3.4</v>
      </c>
      <c r="AM32" s="7" t="str" cm="1">
        <f t="array" ref="AM32">_xlfn.IFS(AND(AL32&lt;=4,AL32&gt;3.6),"A+",AND(AL32&lt;=3.6,AL32&gt;3.2),"A",AND(AL32&lt;=3.2,AL32&gt;2.8),"B+",AND(AL32&lt;=2.8,AL32&gt;2.4),"B",AND(AL32&lt;=2.4,AL32&gt;2),"C+",AND(AL32&lt;=2,AL32&gt;1.6),"C",AL32=1.6,"D",TRUE,"NG")</f>
        <v>A</v>
      </c>
      <c r="AN32" s="7">
        <v>33</v>
      </c>
      <c r="AO32" s="7" cm="1">
        <f t="array" ref="AO32">_xlfn.IFS(AN32/75*100&gt;=90,4,AN32/75*100&gt;=80,3.6,AN32/75*100&gt;=70,3.2,AN32/75*100&gt;=60,2.8,AN32/75*100&gt;=50,2.4,AN32/75*100&gt;=40,2,AN32/75*100&gt;=35,1.6,TRUE, 0)</f>
        <v>2</v>
      </c>
      <c r="AP32" s="7" t="str" cm="1">
        <f t="array" ref="AP32">_xlfn.IFS(AO32=4,"A+",AO32=3.6,"A",AO32=3.2,"B+",AO32=2.8,"B",AO32=2.4,"C+",AO32=2,"C",AO32=1.6,"D",TRUE,"NG")</f>
        <v>C</v>
      </c>
      <c r="AQ32" s="7" cm="1">
        <f t="array" ref="AQ32">_xlfn.IFS(AN32&gt;=70,25,AN32&gt;=60,24,AN32&gt;=50,23,AN32&gt;=40,22,AN32&gt;=30,21,TRUE,20)</f>
        <v>21</v>
      </c>
      <c r="AR32" s="7" cm="1">
        <f t="array" ref="AR32">_xlfn.IFS(AQ32/25*100&gt;=90,4,AQ32/25*100&gt;=80,3.6,AQ32/25*100&gt;=70,3.2,AQ32/25*100&gt;=60,2.8,AQ32/25*100&gt;=50,2.4,AQ32/25*100&gt;=40,2,AQ32/25*100&gt;=35,1.6,TRUE, 0)</f>
        <v>3.6</v>
      </c>
      <c r="AS32" s="7" t="str" cm="1">
        <f t="array" ref="AS32">_xlfn.IFS(AR32=4,"A+",AR32=3.6,"A",AR32=3.2,"B+",AR32=2.8,"B",AR32=2.4,"C+",AR32=2,"C",AR32=1.6,"D",TRUE,"NG")</f>
        <v>A</v>
      </c>
      <c r="AT32" s="7">
        <f t="shared" si="9"/>
        <v>2.4</v>
      </c>
      <c r="AU32" s="7" t="str" cm="1">
        <f t="array" ref="AU32">_xlfn.IFS(AND(AT32&lt;=4,AT32&gt;3.6),"A+",AND(AT32&lt;=3.6,AT32&gt;3.2),"A",AND(AT32&lt;=3.2,AT32&gt;2.8),"B+",AND(AT32&lt;=2.8,AT32&gt;2.4),"B",AND(AT32&lt;=2.4,AT32&gt;2),"C+",AND(AT32&lt;=2,AT32&gt;1.6),"C",AT32=1.6,"D",TRUE,"NG")</f>
        <v>C+</v>
      </c>
      <c r="AV32" s="7">
        <v>37</v>
      </c>
      <c r="AW32" s="7" cm="1">
        <f t="array" ref="AW32">IF(E32="BS",(_xlfn.IFS(AV32/75*100&gt;=90,4,AV32/75*100&gt;=80,3.6,AV32/75*100&gt;=70,3.2,AV32/75*100&gt;=60,2.8,AV32/75*100&gt;=50,2.4,AV32/75*100&gt;=40,2,AV32/75*100&gt;=35,1.6,TRUE, 0)),(_xlfn.IFS(AV32/50*100&gt;=90,4,AV32/50*100&gt;=80,3.6,AV32/50*100&gt;=70,3.2,AV32/50*100&gt;=60,2.8,AV32/50*100&gt;=50,2.4,AV32/50*100&gt;=40,2,AV32/50*100&gt;=35,1.6,TRUE, 0)))</f>
        <v>3.2</v>
      </c>
      <c r="AX32" s="7" t="str" cm="1">
        <f t="array" ref="AX32">_xlfn.IFS(AW32="-","-",AW32=4,"A+",AW32=3.6,"A",AW32=3.2,"B+",AW32=2.8,"B",AW32=2.4,"C+",AW32=2,"C",AW32=1.6,"D",TRUE,"NG")</f>
        <v>B+</v>
      </c>
      <c r="AY32" s="7" cm="1">
        <f t="array" ref="AY32">IF(E32="BS",(_xlfn.IFS(AV32&gt;=70,25,AV32&gt;=60,24,AV32&gt;=50,23,AV32&gt;=40,22,AV32&gt;=30,21,TRUE,20)),(_xlfn.IFS(AV32&gt;=45,48,AV32&gt;=40,46,AV32&gt;=35,44,AV32&gt;=30,40,AV32&gt;=25,38,TRUE,20)))</f>
        <v>44</v>
      </c>
      <c r="AZ32" s="7" cm="1">
        <f t="array" ref="AZ32">IF(E32="BS",(_xlfn.IFS(AY32/25*100&gt;=90,4,AY32/25*100&gt;=80,3.6,AY32/25*100&gt;=70,3.2,AY32/25*100&gt;=60,2.8,AY32/25*100&gt;=50,2.4,AY32/25*100&gt;=40,2,AY32/25*100&gt;=35,1.6,TRUE, 0)),(_xlfn.IFS(AY32/50*100&gt;=90,4,AY32/50*100&gt;=80,3.6,AY32/50*100&gt;=70,3.2,AY32/50*100&gt;=60,2.8,AY32/50*100&gt;=50,2.4,AY32/50*100&gt;=40,2,AY32/50*100&gt;=35,1.6,TRUE, 0)))</f>
        <v>3.6</v>
      </c>
      <c r="BA32" s="7" t="str" cm="1">
        <f t="array" ref="BA32">_xlfn.IFS(AZ32="-","-",AZ32=4,"A+",AZ32=3.6,"A",AZ32=3.2,"B+",AZ32=2.8,"B",AZ32=2.4,"C+",AZ32=2,"C",AZ32=1.6,"D",TRUE,"NG")</f>
        <v>A</v>
      </c>
      <c r="BB32" s="7">
        <f>IF(E32="BS",(AW32*3.75+AZ32*1.25)/5,(AW32*2.5+AZ32*2.5)/5)</f>
        <v>3.4</v>
      </c>
      <c r="BC32" s="7" t="str" cm="1">
        <f t="array" ref="BC32">_xlfn.IFS(BB32="-","-",AND(BB32&lt;=4,BB32&gt;3.6),"A+",AND(BB32&lt;=3.6,BB32&gt;3.2),"A",AND(BB32&lt;=3.2,BB32&gt;2.8),"B+",AND(BB32&lt;=2.8,BB32&gt;2.4),"B",AND(BB32&lt;=2.4,BB32&gt;2),"C+",AND(BB32&lt;=2,BB32&gt;1.6),"C",BB32=1.6,"D",TRUE,"NG")</f>
        <v>A</v>
      </c>
      <c r="BD32" s="12">
        <f>IF(E32="BS",(((I32*3+L32*1)+(Q32*2.25+T32*0.75)+(Y32*3.75+AB32*1.25)+(AG32*3.75+AJ32*1.25)+(AO32*3.75+AR32*1.25)+(AW32*3.75+AZ32*1.25))/(4+3+5*4)),(((I32*3+L32*1)+(Q32*2.25+T32*0.75)+(Y32*3.75+AB32*1.25)+(AG32*3.75+AJ32*1.25)+(AO32*3.75+AR32*1.25)+(AW32*2.5+AZ32*2.5))/(4+3+5*4)))</f>
        <v>3.0296296296296297</v>
      </c>
    </row>
    <row r="33" spans="1:56" x14ac:dyDescent="0.3">
      <c r="A33" s="2">
        <v>39</v>
      </c>
      <c r="B33" s="16">
        <v>793270280027</v>
      </c>
      <c r="C33" s="17">
        <v>12706878</v>
      </c>
      <c r="D33" s="6" t="s">
        <v>295</v>
      </c>
      <c r="E33" s="7" t="s">
        <v>80</v>
      </c>
      <c r="F33" s="20" t="s">
        <v>366</v>
      </c>
      <c r="G33" s="3" t="s">
        <v>332</v>
      </c>
      <c r="H33" s="7">
        <v>57</v>
      </c>
      <c r="I33" s="7" cm="1">
        <f t="array" ref="I33">_xlfn.IFS(H33/75*100&gt;=90,4,H33/75*100&gt;=80,3.6,H33/75*100&gt;=70,3.2,H33/75*100&gt;=60,2.8,H33/75*100&gt;=50,2.4,H33/75*100&gt;=40,2,H33/75*100&gt;=35,1.6,TRUE, 0)</f>
        <v>3.2</v>
      </c>
      <c r="J33" s="7" t="str" cm="1">
        <f t="array" ref="J33">_xlfn.IFS(I33=4,"A+",I33=3.6,"A",I33=3.2,"B+",I33=2.8,"B",I33=2.4,"C+",I33=2,"C",I33=1.6,"D",TRUE,"NG")</f>
        <v>B+</v>
      </c>
      <c r="K33" s="7" cm="1">
        <f t="array" ref="K33">_xlfn.IFS(H33&gt;=70,25,H33&gt;=60,24,H33&gt;=50,23,H33&gt;=40,22,H33&gt;=30,21,TRUE,20)</f>
        <v>23</v>
      </c>
      <c r="L33" s="7" cm="1">
        <f t="array" ref="L33">_xlfn.IFS(K33/25*100&gt;=90,4,K33/25*100&gt;=80,3.6,K33/25*100&gt;=70,3.2,K33/25*100&gt;=60,2.8,K33/25*100&gt;=50,2.4,K33/25*100&gt;=40,2,K33/25*100&gt;=35,1.6,TRUE, 0)</f>
        <v>4</v>
      </c>
      <c r="M33" s="7" t="str" cm="1">
        <f t="array" ref="M33">_xlfn.IFS(L33=4,"A+",L33=3.6,"A",L33=3.2,"B+",L33=2.8,"B",L33=2.4,"C+",L33=2,"C",L33=1.6,"D",TRUE,"NG")</f>
        <v>A+</v>
      </c>
      <c r="N33" s="7">
        <f t="shared" si="5"/>
        <v>3.4000000000000004</v>
      </c>
      <c r="O33" s="7" t="str" cm="1">
        <f t="array" ref="O33">_xlfn.IFS(AND(N33&lt;=4,N33&gt;3.6),"A+",AND(N33&lt;=3.6,N33&gt;3.2),"A",AND(N33&lt;=3.2,N33&gt;2.8),"B+",AND(N33&lt;=2.8,N33&gt;2.4),"B",AND(N33&lt;=2.4,N33&gt;2),"C+",AND(N33&lt;=2,N33&gt;1.6),"C",N33=1.6,"D",TRUE,"NG")</f>
        <v>A</v>
      </c>
      <c r="P33" s="7">
        <v>32</v>
      </c>
      <c r="Q33" s="7" cm="1">
        <f t="array" ref="Q33">_xlfn.IFS(P33/75*100&gt;=90,4,P33/75*100&gt;=80,3.6,P33/75*100&gt;=70,3.2,P33/75*100&gt;=60,2.8,P33/75*100&gt;=50,2.4,P33/75*100&gt;=40,2,P33/75*100&gt;=35,1.6,TRUE, 0)</f>
        <v>2</v>
      </c>
      <c r="R33" s="7" t="str" cm="1">
        <f t="array" ref="R33">_xlfn.IFS(Q33=4,"A+",Q33=3.6,"A",Q33=3.2,"B+",Q33=2.8,"B",Q33=2.4,"C+",Q33=2,"C",Q33=1.6,"D",TRUE,"NG")</f>
        <v>C</v>
      </c>
      <c r="S33" s="7" cm="1">
        <f t="array" ref="S33">_xlfn.IFS(P33&gt;=70,25,P33&gt;=60,24,P33&gt;=50,23,P33&gt;=40,22,P33&gt;=30,21,TRUE,20)</f>
        <v>21</v>
      </c>
      <c r="T33" s="7" cm="1">
        <f t="array" ref="T33">_xlfn.IFS(S33/25*100&gt;=90,4,S33/25*100&gt;=80,3.6,S33/25*100&gt;=70,3.2,S33/25*100&gt;=60,2.8,S33/25*100&gt;=50,2.4,S33/25*100&gt;=40,2,S33/25*100&gt;=35,1.6,TRUE, 0)</f>
        <v>3.6</v>
      </c>
      <c r="U33" s="7" t="str" cm="1">
        <f t="array" ref="U33">_xlfn.IFS(T33=4,"A+",T33=3.6,"A",T33=3.2,"B+",T33=2.8,"B",T33=2.4,"C+",T33=2,"C",T33=1.6,"D",TRUE,"NG")</f>
        <v>A</v>
      </c>
      <c r="V33" s="7">
        <f t="shared" si="6"/>
        <v>2.4</v>
      </c>
      <c r="W33" s="7" t="str" cm="1">
        <f t="array" ref="W33">_xlfn.IFS(AND(V33&lt;=4,V33&gt;3.6),"A+",AND(V33&lt;=3.6,V33&gt;3.2),"A",AND(V33&lt;=3.2,V33&gt;2.8),"B+",AND(V33&lt;=2.8,V33&gt;2.4),"B",AND(V33&lt;=2.4,V33&gt;2),"C+",AND(V33&lt;=2,V33&gt;1.6),"C",V33=1.6,"D",TRUE,"NG")</f>
        <v>C+</v>
      </c>
      <c r="X33" s="7">
        <v>39</v>
      </c>
      <c r="Y33" s="7" cm="1">
        <f t="array" ref="Y33">_xlfn.IFS(X33/75*100&gt;=90,4,X33/75*100&gt;=80,3.6,X33/75*100&gt;=70,3.2,X33/75*100&gt;=60,2.8,X33/75*100&gt;=50,2.4,X33/75*100&gt;=40,2,X33/75*100&gt;=35,1.6,TRUE, 0)</f>
        <v>2.4</v>
      </c>
      <c r="Z33" s="7" t="str" cm="1">
        <f t="array" ref="Z33">_xlfn.IFS(Y33=4,"A+",Y33=3.6,"A",Y33=3.2,"B+",Y33=2.8,"B",Y33=2.4,"C+",Y33=2,"C",Y33=1.6,"D",TRUE,"NG")</f>
        <v>C+</v>
      </c>
      <c r="AA33" s="7" cm="1">
        <f t="array" ref="AA33">_xlfn.IFS(X33&gt;=70,25,X33&gt;=60,24,X33&gt;=50,23,X33&gt;=40,22,X33&gt;=30,21,TRUE,20)</f>
        <v>21</v>
      </c>
      <c r="AB33" s="7" cm="1">
        <f t="array" ref="AB33">_xlfn.IFS(AA33/25*100&gt;=90,4,AA33/25*100&gt;=80,3.6,AA33/25*100&gt;=70,3.2,AA33/25*100&gt;=60,2.8,AA33/25*100&gt;=50,2.4,AA33/25*100&gt;=40,2,AA33/25*100&gt;=35,1.6,TRUE, 0)</f>
        <v>3.6</v>
      </c>
      <c r="AC33" s="7" t="str" cm="1">
        <f t="array" ref="AC33">_xlfn.IFS(AB33=4,"A+",AB33=3.6,"A",AB33=3.2,"B+",AB33=2.8,"B",AB33=2.4,"C+",AB33=2,"C",AB33=1.6,"D",TRUE,"NG")</f>
        <v>A</v>
      </c>
      <c r="AD33" s="7">
        <f t="shared" si="7"/>
        <v>2.7</v>
      </c>
      <c r="AE33" s="7" t="str" cm="1">
        <f t="array" ref="AE33">_xlfn.IFS(AND(AD33&lt;=4,AD33&gt;3.6),"A+",AND(AD33&lt;=3.6,AD33&gt;3.2),"A",AND(AD33&lt;=3.2,AD33&gt;2.8),"B+",AND(AD33&lt;=2.8,AD33&gt;2.4),"B",AND(AD33&lt;=2.4,AD33&gt;2),"C+",AND(AD33&lt;=2,AD33&gt;1.6),"C",AD33=1.6,"D",TRUE,"NG")</f>
        <v>B</v>
      </c>
      <c r="AF33" s="7">
        <v>46</v>
      </c>
      <c r="AG33" s="7" cm="1">
        <f t="array" ref="AG33">_xlfn.IFS(AF33/75*100&gt;=90,4,AF33/75*100&gt;=80,3.6,AF33/75*100&gt;=70,3.2,AF33/75*100&gt;=60,2.8,AF33/75*100&gt;=50,2.4,AF33/75*100&gt;=40,2,AF33/75*100&gt;=35,1.6,TRUE, 0)</f>
        <v>2.8</v>
      </c>
      <c r="AH33" s="7" t="str" cm="1">
        <f t="array" ref="AH33">_xlfn.IFS(AG33=4,"A+",AG33=3.6,"A",AG33=3.2,"B+",AG33=2.8,"B",AG33=2.4,"C+",AG33=2,"C",AG33=1.6,"D",TRUE,"NG")</f>
        <v>B</v>
      </c>
      <c r="AI33" s="7" cm="1">
        <f t="array" ref="AI33">_xlfn.IFS(AF33&gt;=70,25,AF33&gt;=60,24,AF33&gt;=50,23,AF33&gt;=40,22,AF33&gt;=30,21,TRUE,20)</f>
        <v>22</v>
      </c>
      <c r="AJ33" s="7" cm="1">
        <f t="array" ref="AJ33">_xlfn.IFS(AI33/25*100&gt;=90,4,AI33/25*100&gt;=80,3.6,AI33/25*100&gt;=70,3.2,AI33/25*100&gt;=60,2.8,AI33/25*100&gt;=50,2.4,AI33/25*100&gt;=40,2,AI33/25*100&gt;=35,1.6,TRUE, 0)</f>
        <v>3.6</v>
      </c>
      <c r="AK33" s="7" t="str" cm="1">
        <f t="array" ref="AK33">_xlfn.IFS(AJ33=4,"A+",AJ33=3.6,"A",AJ33=3.2,"B+",AJ33=2.8,"B",AJ33=2.4,"C+",AJ33=2,"C",AJ33=1.6,"D",TRUE,"NG")</f>
        <v>A</v>
      </c>
      <c r="AL33" s="7">
        <f t="shared" si="8"/>
        <v>3</v>
      </c>
      <c r="AM33" s="7" t="str" cm="1">
        <f t="array" ref="AM33">_xlfn.IFS(AND(AL33&lt;=4,AL33&gt;3.6),"A+",AND(AL33&lt;=3.6,AL33&gt;3.2),"A",AND(AL33&lt;=3.2,AL33&gt;2.8),"B+",AND(AL33&lt;=2.8,AL33&gt;2.4),"B",AND(AL33&lt;=2.4,AL33&gt;2),"C+",AND(AL33&lt;=2,AL33&gt;1.6),"C",AL33=1.6,"D",TRUE,"NG")</f>
        <v>B+</v>
      </c>
      <c r="AN33" s="7">
        <v>34</v>
      </c>
      <c r="AO33" s="7" cm="1">
        <f t="array" ref="AO33">_xlfn.IFS(AN33/75*100&gt;=90,4,AN33/75*100&gt;=80,3.6,AN33/75*100&gt;=70,3.2,AN33/75*100&gt;=60,2.8,AN33/75*100&gt;=50,2.4,AN33/75*100&gt;=40,2,AN33/75*100&gt;=35,1.6,TRUE, 0)</f>
        <v>2</v>
      </c>
      <c r="AP33" s="7" t="str" cm="1">
        <f t="array" ref="AP33">_xlfn.IFS(AO33=4,"A+",AO33=3.6,"A",AO33=3.2,"B+",AO33=2.8,"B",AO33=2.4,"C+",AO33=2,"C",AO33=1.6,"D",TRUE,"NG")</f>
        <v>C</v>
      </c>
      <c r="AQ33" s="7" cm="1">
        <f t="array" ref="AQ33">_xlfn.IFS(AN33&gt;=70,25,AN33&gt;=60,24,AN33&gt;=50,23,AN33&gt;=40,22,AN33&gt;=30,21,TRUE,20)</f>
        <v>21</v>
      </c>
      <c r="AR33" s="7" cm="1">
        <f t="array" ref="AR33">_xlfn.IFS(AQ33/25*100&gt;=90,4,AQ33/25*100&gt;=80,3.6,AQ33/25*100&gt;=70,3.2,AQ33/25*100&gt;=60,2.8,AQ33/25*100&gt;=50,2.4,AQ33/25*100&gt;=40,2,AQ33/25*100&gt;=35,1.6,TRUE, 0)</f>
        <v>3.6</v>
      </c>
      <c r="AS33" s="7" t="str" cm="1">
        <f t="array" ref="AS33">_xlfn.IFS(AR33=4,"A+",AR33=3.6,"A",AR33=3.2,"B+",AR33=2.8,"B",AR33=2.4,"C+",AR33=2,"C",AR33=1.6,"D",TRUE,"NG")</f>
        <v>A</v>
      </c>
      <c r="AT33" s="7">
        <f t="shared" si="9"/>
        <v>2.4</v>
      </c>
      <c r="AU33" s="7" t="str" cm="1">
        <f t="array" ref="AU33">_xlfn.IFS(AND(AT33&lt;=4,AT33&gt;3.6),"A+",AND(AT33&lt;=3.6,AT33&gt;3.2),"A",AND(AT33&lt;=3.2,AT33&gt;2.8),"B+",AND(AT33&lt;=2.8,AT33&gt;2.4),"B",AND(AT33&lt;=2.4,AT33&gt;2),"C+",AND(AT33&lt;=2,AT33&gt;1.6),"C",AT33=1.6,"D",TRUE,"NG")</f>
        <v>C+</v>
      </c>
      <c r="AV33" s="7">
        <v>37</v>
      </c>
      <c r="AW33" s="7" cm="1">
        <f t="array" ref="AW33">IF(E33="BS",(_xlfn.IFS(AV33/75*100&gt;=90,4,AV33/75*100&gt;=80,3.6,AV33/75*100&gt;=70,3.2,AV33/75*100&gt;=60,2.8,AV33/75*100&gt;=50,2.4,AV33/75*100&gt;=40,2,AV33/75*100&gt;=35,1.6,TRUE, 0)),(_xlfn.IFS(AV33/50*100&gt;=90,4,AV33/50*100&gt;=80,3.6,AV33/50*100&gt;=70,3.2,AV33/50*100&gt;=60,2.8,AV33/50*100&gt;=50,2.4,AV33/50*100&gt;=40,2,AV33/50*100&gt;=35,1.6,TRUE, 0)))</f>
        <v>3.2</v>
      </c>
      <c r="AX33" s="7" t="str" cm="1">
        <f t="array" ref="AX33">_xlfn.IFS(AW33="-","-",AW33=4,"A+",AW33=3.6,"A",AW33=3.2,"B+",AW33=2.8,"B",AW33=2.4,"C+",AW33=2,"C",AW33=1.6,"D",TRUE,"NG")</f>
        <v>B+</v>
      </c>
      <c r="AY33" s="7" cm="1">
        <f t="array" ref="AY33">IF(E33="BS",(_xlfn.IFS(AV33&gt;=70,25,AV33&gt;=60,24,AV33&gt;=50,23,AV33&gt;=40,22,AV33&gt;=30,21,TRUE,20)),(_xlfn.IFS(AV33&gt;=45,48,AV33&gt;=40,46,AV33&gt;=35,44,AV33&gt;=30,40,AV33&gt;=25,38,TRUE,20)))</f>
        <v>44</v>
      </c>
      <c r="AZ33" s="7" cm="1">
        <f t="array" ref="AZ33">IF(E33="BS",(_xlfn.IFS(AY33/25*100&gt;=90,4,AY33/25*100&gt;=80,3.6,AY33/25*100&gt;=70,3.2,AY33/25*100&gt;=60,2.8,AY33/25*100&gt;=50,2.4,AY33/25*100&gt;=40,2,AY33/25*100&gt;=35,1.6,TRUE, 0)),(_xlfn.IFS(AY33/50*100&gt;=90,4,AY33/50*100&gt;=80,3.6,AY33/50*100&gt;=70,3.2,AY33/50*100&gt;=60,2.8,AY33/50*100&gt;=50,2.4,AY33/50*100&gt;=40,2,AY33/50*100&gt;=35,1.6,TRUE, 0)))</f>
        <v>3.6</v>
      </c>
      <c r="BA33" s="7" t="str" cm="1">
        <f t="array" ref="BA33">_xlfn.IFS(AZ33="-","-",AZ33=4,"A+",AZ33=3.6,"A",AZ33=3.2,"B+",AZ33=2.8,"B",AZ33=2.4,"C+",AZ33=2,"C",AZ33=1.6,"D",TRUE,"NG")</f>
        <v>A</v>
      </c>
      <c r="BB33" s="7">
        <f>IF(E33="BS",(AW33*3.75+AZ33*1.25)/5,(AW33*2.5+AZ33*2.5)/5)</f>
        <v>3.4</v>
      </c>
      <c r="BC33" s="7" t="str" cm="1">
        <f t="array" ref="BC33">_xlfn.IFS(BB33="-","-",AND(BB33&lt;=4,BB33&gt;3.6),"A+",AND(BB33&lt;=3.6,BB33&gt;3.2),"A",AND(BB33&lt;=3.2,BB33&gt;2.8),"B+",AND(BB33&lt;=2.8,BB33&gt;2.4),"B",AND(BB33&lt;=2.4,BB33&gt;2),"C+",AND(BB33&lt;=2,BB33&gt;1.6),"C",BB33=1.6,"D",TRUE,"NG")</f>
        <v>A</v>
      </c>
      <c r="BD33" s="12">
        <f>IF(E33="BS",(((I33*3+L33*1)+(Q33*2.25+T33*0.75)+(Y33*3.75+AB33*1.25)+(AG33*3.75+AJ33*1.25)+(AO33*3.75+AR33*1.25)+(AW33*3.75+AZ33*1.25))/(4+3+5*4)),(((I33*3+L33*1)+(Q33*2.25+T33*0.75)+(Y33*3.75+AB33*1.25)+(AG33*3.75+AJ33*1.25)+(AO33*3.75+AR33*1.25)+(AW33*2.5+AZ33*2.5))/(4+3+5*4)))</f>
        <v>2.9</v>
      </c>
    </row>
    <row r="34" spans="1:56" x14ac:dyDescent="0.3">
      <c r="A34" s="2">
        <v>40</v>
      </c>
      <c r="B34" s="16">
        <v>793270280028</v>
      </c>
      <c r="C34" s="17">
        <v>12706879</v>
      </c>
      <c r="D34" s="6" t="s">
        <v>296</v>
      </c>
      <c r="E34" s="7" t="s">
        <v>80</v>
      </c>
      <c r="F34" s="20" t="s">
        <v>367</v>
      </c>
      <c r="G34" s="3" t="s">
        <v>333</v>
      </c>
      <c r="H34" s="7">
        <v>68</v>
      </c>
      <c r="I34" s="7" cm="1">
        <f t="array" ref="I34">_xlfn.IFS(H34/75*100&gt;=90,4,H34/75*100&gt;=80,3.6,H34/75*100&gt;=70,3.2,H34/75*100&gt;=60,2.8,H34/75*100&gt;=50,2.4,H34/75*100&gt;=40,2,H34/75*100&gt;=35,1.6,TRUE, 0)</f>
        <v>4</v>
      </c>
      <c r="J34" s="7" t="str" cm="1">
        <f t="array" ref="J34">_xlfn.IFS(I34=4,"A+",I34=3.6,"A",I34=3.2,"B+",I34=2.8,"B",I34=2.4,"C+",I34=2,"C",I34=1.6,"D",TRUE,"NG")</f>
        <v>A+</v>
      </c>
      <c r="K34" s="7" cm="1">
        <f t="array" ref="K34">_xlfn.IFS(H34&gt;=70,25,H34&gt;=60,24,H34&gt;=50,23,H34&gt;=40,22,H34&gt;=30,21,TRUE,20)</f>
        <v>24</v>
      </c>
      <c r="L34" s="7" cm="1">
        <f t="array" ref="L34">_xlfn.IFS(K34/25*100&gt;=90,4,K34/25*100&gt;=80,3.6,K34/25*100&gt;=70,3.2,K34/25*100&gt;=60,2.8,K34/25*100&gt;=50,2.4,K34/25*100&gt;=40,2,K34/25*100&gt;=35,1.6,TRUE, 0)</f>
        <v>4</v>
      </c>
      <c r="M34" s="7" t="str" cm="1">
        <f t="array" ref="M34">_xlfn.IFS(L34=4,"A+",L34=3.6,"A",L34=3.2,"B+",L34=2.8,"B",L34=2.4,"C+",L34=2,"C",L34=1.6,"D",TRUE,"NG")</f>
        <v>A+</v>
      </c>
      <c r="N34" s="7">
        <f t="shared" si="5"/>
        <v>4</v>
      </c>
      <c r="O34" s="7" t="str" cm="1">
        <f t="array" ref="O34">_xlfn.IFS(AND(N34&lt;=4,N34&gt;3.6),"A+",AND(N34&lt;=3.6,N34&gt;3.2),"A",AND(N34&lt;=3.2,N34&gt;2.8),"B+",AND(N34&lt;=2.8,N34&gt;2.4),"B",AND(N34&lt;=2.4,N34&gt;2),"C+",AND(N34&lt;=2,N34&gt;1.6),"C",N34=1.6,"D",TRUE,"NG")</f>
        <v>A+</v>
      </c>
      <c r="P34" s="7">
        <v>53</v>
      </c>
      <c r="Q34" s="7" cm="1">
        <f t="array" ref="Q34">_xlfn.IFS(P34/75*100&gt;=90,4,P34/75*100&gt;=80,3.6,P34/75*100&gt;=70,3.2,P34/75*100&gt;=60,2.8,P34/75*100&gt;=50,2.4,P34/75*100&gt;=40,2,P34/75*100&gt;=35,1.6,TRUE, 0)</f>
        <v>3.2</v>
      </c>
      <c r="R34" s="7" t="str" cm="1">
        <f t="array" ref="R34">_xlfn.IFS(Q34=4,"A+",Q34=3.6,"A",Q34=3.2,"B+",Q34=2.8,"B",Q34=2.4,"C+",Q34=2,"C",Q34=1.6,"D",TRUE,"NG")</f>
        <v>B+</v>
      </c>
      <c r="S34" s="7" cm="1">
        <f t="array" ref="S34">_xlfn.IFS(P34&gt;=70,25,P34&gt;=60,24,P34&gt;=50,23,P34&gt;=40,22,P34&gt;=30,21,TRUE,20)</f>
        <v>23</v>
      </c>
      <c r="T34" s="7" cm="1">
        <f t="array" ref="T34">_xlfn.IFS(S34/25*100&gt;=90,4,S34/25*100&gt;=80,3.6,S34/25*100&gt;=70,3.2,S34/25*100&gt;=60,2.8,S34/25*100&gt;=50,2.4,S34/25*100&gt;=40,2,S34/25*100&gt;=35,1.6,TRUE, 0)</f>
        <v>4</v>
      </c>
      <c r="U34" s="7" t="str" cm="1">
        <f t="array" ref="U34">_xlfn.IFS(T34=4,"A+",T34=3.6,"A",T34=3.2,"B+",T34=2.8,"B",T34=2.4,"C+",T34=2,"C",T34=1.6,"D",TRUE,"NG")</f>
        <v>A+</v>
      </c>
      <c r="V34" s="7">
        <f t="shared" si="6"/>
        <v>3.4</v>
      </c>
      <c r="W34" s="7" t="str" cm="1">
        <f t="array" ref="W34">_xlfn.IFS(AND(V34&lt;=4,V34&gt;3.6),"A+",AND(V34&lt;=3.6,V34&gt;3.2),"A",AND(V34&lt;=3.2,V34&gt;2.8),"B+",AND(V34&lt;=2.8,V34&gt;2.4),"B",AND(V34&lt;=2.4,V34&gt;2),"C+",AND(V34&lt;=2,V34&gt;1.6),"C",V34=1.6,"D",TRUE,"NG")</f>
        <v>A</v>
      </c>
      <c r="X34" s="7">
        <v>55</v>
      </c>
      <c r="Y34" s="7" cm="1">
        <f t="array" ref="Y34">_xlfn.IFS(X34/75*100&gt;=90,4,X34/75*100&gt;=80,3.6,X34/75*100&gt;=70,3.2,X34/75*100&gt;=60,2.8,X34/75*100&gt;=50,2.4,X34/75*100&gt;=40,2,X34/75*100&gt;=35,1.6,TRUE, 0)</f>
        <v>3.2</v>
      </c>
      <c r="Z34" s="7" t="str" cm="1">
        <f t="array" ref="Z34">_xlfn.IFS(Y34=4,"A+",Y34=3.6,"A",Y34=3.2,"B+",Y34=2.8,"B",Y34=2.4,"C+",Y34=2,"C",Y34=1.6,"D",TRUE,"NG")</f>
        <v>B+</v>
      </c>
      <c r="AA34" s="7" cm="1">
        <f t="array" ref="AA34">_xlfn.IFS(X34&gt;=70,25,X34&gt;=60,24,X34&gt;=50,23,X34&gt;=40,22,X34&gt;=30,21,TRUE,20)</f>
        <v>23</v>
      </c>
      <c r="AB34" s="7" cm="1">
        <f t="array" ref="AB34">_xlfn.IFS(AA34/25*100&gt;=90,4,AA34/25*100&gt;=80,3.6,AA34/25*100&gt;=70,3.2,AA34/25*100&gt;=60,2.8,AA34/25*100&gt;=50,2.4,AA34/25*100&gt;=40,2,AA34/25*100&gt;=35,1.6,TRUE, 0)</f>
        <v>4</v>
      </c>
      <c r="AC34" s="7" t="str" cm="1">
        <f t="array" ref="AC34">_xlfn.IFS(AB34=4,"A+",AB34=3.6,"A",AB34=3.2,"B+",AB34=2.8,"B",AB34=2.4,"C+",AB34=2,"C",AB34=1.6,"D",TRUE,"NG")</f>
        <v>A+</v>
      </c>
      <c r="AD34" s="7">
        <f t="shared" si="7"/>
        <v>3.4</v>
      </c>
      <c r="AE34" s="7" t="str" cm="1">
        <f t="array" ref="AE34">_xlfn.IFS(AND(AD34&lt;=4,AD34&gt;3.6),"A+",AND(AD34&lt;=3.6,AD34&gt;3.2),"A",AND(AD34&lt;=3.2,AD34&gt;2.8),"B+",AND(AD34&lt;=2.8,AD34&gt;2.4),"B",AND(AD34&lt;=2.4,AD34&gt;2),"C+",AND(AD34&lt;=2,AD34&gt;1.6),"C",AD34=1.6,"D",TRUE,"NG")</f>
        <v>A</v>
      </c>
      <c r="AF34" s="7">
        <v>68</v>
      </c>
      <c r="AG34" s="7" cm="1">
        <f t="array" ref="AG34">_xlfn.IFS(AF34/75*100&gt;=90,4,AF34/75*100&gt;=80,3.6,AF34/75*100&gt;=70,3.2,AF34/75*100&gt;=60,2.8,AF34/75*100&gt;=50,2.4,AF34/75*100&gt;=40,2,AF34/75*100&gt;=35,1.6,TRUE, 0)</f>
        <v>4</v>
      </c>
      <c r="AH34" s="7" t="str" cm="1">
        <f t="array" ref="AH34">_xlfn.IFS(AG34=4,"A+",AG34=3.6,"A",AG34=3.2,"B+",AG34=2.8,"B",AG34=2.4,"C+",AG34=2,"C",AG34=1.6,"D",TRUE,"NG")</f>
        <v>A+</v>
      </c>
      <c r="AI34" s="7" cm="1">
        <f t="array" ref="AI34">_xlfn.IFS(AF34&gt;=70,25,AF34&gt;=60,24,AF34&gt;=50,23,AF34&gt;=40,22,AF34&gt;=30,21,TRUE,20)</f>
        <v>24</v>
      </c>
      <c r="AJ34" s="7" cm="1">
        <f t="array" ref="AJ34">_xlfn.IFS(AI34/25*100&gt;=90,4,AI34/25*100&gt;=80,3.6,AI34/25*100&gt;=70,3.2,AI34/25*100&gt;=60,2.8,AI34/25*100&gt;=50,2.4,AI34/25*100&gt;=40,2,AI34/25*100&gt;=35,1.6,TRUE, 0)</f>
        <v>4</v>
      </c>
      <c r="AK34" s="7" t="str" cm="1">
        <f t="array" ref="AK34">_xlfn.IFS(AJ34=4,"A+",AJ34=3.6,"A",AJ34=3.2,"B+",AJ34=2.8,"B",AJ34=2.4,"C+",AJ34=2,"C",AJ34=1.6,"D",TRUE,"NG")</f>
        <v>A+</v>
      </c>
      <c r="AL34" s="7">
        <f t="shared" si="8"/>
        <v>4</v>
      </c>
      <c r="AM34" s="7" t="str" cm="1">
        <f t="array" ref="AM34">_xlfn.IFS(AND(AL34&lt;=4,AL34&gt;3.6),"A+",AND(AL34&lt;=3.6,AL34&gt;3.2),"A",AND(AL34&lt;=3.2,AL34&gt;2.8),"B+",AND(AL34&lt;=2.8,AL34&gt;2.4),"B",AND(AL34&lt;=2.4,AL34&gt;2),"C+",AND(AL34&lt;=2,AL34&gt;1.6),"C",AL34=1.6,"D",TRUE,"NG")</f>
        <v>A+</v>
      </c>
      <c r="AN34" s="7">
        <v>37</v>
      </c>
      <c r="AO34" s="7" cm="1">
        <f t="array" ref="AO34">_xlfn.IFS(AN34/75*100&gt;=90,4,AN34/75*100&gt;=80,3.6,AN34/75*100&gt;=70,3.2,AN34/75*100&gt;=60,2.8,AN34/75*100&gt;=50,2.4,AN34/75*100&gt;=40,2,AN34/75*100&gt;=35,1.6,TRUE, 0)</f>
        <v>2</v>
      </c>
      <c r="AP34" s="7" t="str" cm="1">
        <f t="array" ref="AP34">_xlfn.IFS(AO34=4,"A+",AO34=3.6,"A",AO34=3.2,"B+",AO34=2.8,"B",AO34=2.4,"C+",AO34=2,"C",AO34=1.6,"D",TRUE,"NG")</f>
        <v>C</v>
      </c>
      <c r="AQ34" s="7" cm="1">
        <f t="array" ref="AQ34">_xlfn.IFS(AN34&gt;=70,25,AN34&gt;=60,24,AN34&gt;=50,23,AN34&gt;=40,22,AN34&gt;=30,21,TRUE,20)</f>
        <v>21</v>
      </c>
      <c r="AR34" s="7" cm="1">
        <f t="array" ref="AR34">_xlfn.IFS(AQ34/25*100&gt;=90,4,AQ34/25*100&gt;=80,3.6,AQ34/25*100&gt;=70,3.2,AQ34/25*100&gt;=60,2.8,AQ34/25*100&gt;=50,2.4,AQ34/25*100&gt;=40,2,AQ34/25*100&gt;=35,1.6,TRUE, 0)</f>
        <v>3.6</v>
      </c>
      <c r="AS34" s="7" t="str" cm="1">
        <f t="array" ref="AS34">_xlfn.IFS(AR34=4,"A+",AR34=3.6,"A",AR34=3.2,"B+",AR34=2.8,"B",AR34=2.4,"C+",AR34=2,"C",AR34=1.6,"D",TRUE,"NG")</f>
        <v>A</v>
      </c>
      <c r="AT34" s="7">
        <f t="shared" si="9"/>
        <v>2.4</v>
      </c>
      <c r="AU34" s="7" t="str" cm="1">
        <f t="array" ref="AU34">_xlfn.IFS(AND(AT34&lt;=4,AT34&gt;3.6),"A+",AND(AT34&lt;=3.6,AT34&gt;3.2),"A",AND(AT34&lt;=3.2,AT34&gt;2.8),"B+",AND(AT34&lt;=2.8,AT34&gt;2.4),"B",AND(AT34&lt;=2.4,AT34&gt;2),"C+",AND(AT34&lt;=2,AT34&gt;1.6),"C",AT34=1.6,"D",TRUE,"NG")</f>
        <v>C+</v>
      </c>
      <c r="AV34" s="7">
        <v>45</v>
      </c>
      <c r="AW34" s="7" cm="1">
        <f t="array" ref="AW34">IF(E34="BS",(_xlfn.IFS(AV34/75*100&gt;=90,4,AV34/75*100&gt;=80,3.6,AV34/75*100&gt;=70,3.2,AV34/75*100&gt;=60,2.8,AV34/75*100&gt;=50,2.4,AV34/75*100&gt;=40,2,AV34/75*100&gt;=35,1.6,TRUE, 0)),(_xlfn.IFS(AV34/50*100&gt;=90,4,AV34/50*100&gt;=80,3.6,AV34/50*100&gt;=70,3.2,AV34/50*100&gt;=60,2.8,AV34/50*100&gt;=50,2.4,AV34/50*100&gt;=40,2,AV34/50*100&gt;=35,1.6,TRUE, 0)))</f>
        <v>4</v>
      </c>
      <c r="AX34" s="7" t="str" cm="1">
        <f t="array" ref="AX34">_xlfn.IFS(AW34="-","-",AW34=4,"A+",AW34=3.6,"A",AW34=3.2,"B+",AW34=2.8,"B",AW34=2.4,"C+",AW34=2,"C",AW34=1.6,"D",TRUE,"NG")</f>
        <v>A+</v>
      </c>
      <c r="AY34" s="7" cm="1">
        <f t="array" ref="AY34">IF(E34="BS",(_xlfn.IFS(AV34&gt;=70,25,AV34&gt;=60,24,AV34&gt;=50,23,AV34&gt;=40,22,AV34&gt;=30,21,TRUE,20)),(_xlfn.IFS(AV34&gt;=45,48,AV34&gt;=40,46,AV34&gt;=35,44,AV34&gt;=30,40,AV34&gt;=25,38,TRUE,20)))</f>
        <v>48</v>
      </c>
      <c r="AZ34" s="7" cm="1">
        <f t="array" ref="AZ34">IF(E34="BS",(_xlfn.IFS(AY34/25*100&gt;=90,4,AY34/25*100&gt;=80,3.6,AY34/25*100&gt;=70,3.2,AY34/25*100&gt;=60,2.8,AY34/25*100&gt;=50,2.4,AY34/25*100&gt;=40,2,AY34/25*100&gt;=35,1.6,TRUE, 0)),(_xlfn.IFS(AY34/50*100&gt;=90,4,AY34/50*100&gt;=80,3.6,AY34/50*100&gt;=70,3.2,AY34/50*100&gt;=60,2.8,AY34/50*100&gt;=50,2.4,AY34/50*100&gt;=40,2,AY34/50*100&gt;=35,1.6,TRUE, 0)))</f>
        <v>4</v>
      </c>
      <c r="BA34" s="7" t="str" cm="1">
        <f t="array" ref="BA34">_xlfn.IFS(AZ34="-","-",AZ34=4,"A+",AZ34=3.6,"A",AZ34=3.2,"B+",AZ34=2.8,"B",AZ34=2.4,"C+",AZ34=2,"C",AZ34=1.6,"D",TRUE,"NG")</f>
        <v>A+</v>
      </c>
      <c r="BB34" s="7">
        <f>IF(E34="BS",(AW34*3.75+AZ34*1.25)/5,(AW34*2.5+AZ34*2.5)/5)</f>
        <v>4</v>
      </c>
      <c r="BC34" s="7" t="str" cm="1">
        <f t="array" ref="BC34">_xlfn.IFS(BB34="-","-",AND(BB34&lt;=4,BB34&gt;3.6),"A+",AND(BB34&lt;=3.6,BB34&gt;3.2),"A",AND(BB34&lt;=3.2,BB34&gt;2.8),"B+",AND(BB34&lt;=2.8,BB34&gt;2.4),"B",AND(BB34&lt;=2.4,BB34&gt;2),"C+",AND(BB34&lt;=2,BB34&gt;1.6),"C",BB34=1.6,"D",TRUE,"NG")</f>
        <v>A+</v>
      </c>
      <c r="BD34" s="12">
        <f>IF(E34="BS",(((I34*3+L34*1)+(Q34*2.25+T34*0.75)+(Y34*3.75+AB34*1.25)+(AG34*3.75+AJ34*1.25)+(AO34*3.75+AR34*1.25)+(AW34*3.75+AZ34*1.25))/(4+3+5*4)),(((I34*3+L34*1)+(Q34*2.25+T34*0.75)+(Y34*3.75+AB34*1.25)+(AG34*3.75+AJ34*1.25)+(AO34*3.75+AR34*1.25)+(AW34*2.5+AZ34*2.5))/(4+3+5*4)))</f>
        <v>3.5259259259259261</v>
      </c>
    </row>
    <row r="35" spans="1:56" x14ac:dyDescent="0.3">
      <c r="A35" s="2">
        <v>41</v>
      </c>
      <c r="B35" s="16">
        <v>793270280038</v>
      </c>
      <c r="C35" s="17">
        <v>12706889</v>
      </c>
      <c r="D35" s="6" t="s">
        <v>297</v>
      </c>
      <c r="E35" s="7" t="s">
        <v>80</v>
      </c>
      <c r="F35" s="20" t="s">
        <v>368</v>
      </c>
      <c r="G35" s="3" t="s">
        <v>334</v>
      </c>
      <c r="H35" s="7">
        <v>60</v>
      </c>
      <c r="I35" s="7" cm="1">
        <f t="array" ref="I35">_xlfn.IFS(H35/75*100&gt;=90,4,H35/75*100&gt;=80,3.6,H35/75*100&gt;=70,3.2,H35/75*100&gt;=60,2.8,H35/75*100&gt;=50,2.4,H35/75*100&gt;=40,2,H35/75*100&gt;=35,1.6,TRUE, 0)</f>
        <v>3.6</v>
      </c>
      <c r="J35" s="7" t="str" cm="1">
        <f t="array" ref="J35">_xlfn.IFS(I35=4,"A+",I35=3.6,"A",I35=3.2,"B+",I35=2.8,"B",I35=2.4,"C+",I35=2,"C",I35=1.6,"D",TRUE,"NG")</f>
        <v>A</v>
      </c>
      <c r="K35" s="7" cm="1">
        <f t="array" ref="K35">_xlfn.IFS(H35&gt;=70,25,H35&gt;=60,24,H35&gt;=50,23,H35&gt;=40,22,H35&gt;=30,21,TRUE,20)</f>
        <v>24</v>
      </c>
      <c r="L35" s="7" cm="1">
        <f t="array" ref="L35">_xlfn.IFS(K35/25*100&gt;=90,4,K35/25*100&gt;=80,3.6,K35/25*100&gt;=70,3.2,K35/25*100&gt;=60,2.8,K35/25*100&gt;=50,2.4,K35/25*100&gt;=40,2,K35/25*100&gt;=35,1.6,TRUE, 0)</f>
        <v>4</v>
      </c>
      <c r="M35" s="7" t="str" cm="1">
        <f t="array" ref="M35">_xlfn.IFS(L35=4,"A+",L35=3.6,"A",L35=3.2,"B+",L35=2.8,"B",L35=2.4,"C+",L35=2,"C",L35=1.6,"D",TRUE,"NG")</f>
        <v>A+</v>
      </c>
      <c r="N35" s="7">
        <f t="shared" si="5"/>
        <v>3.7</v>
      </c>
      <c r="O35" s="7" t="str" cm="1">
        <f t="array" ref="O35">_xlfn.IFS(AND(N35&lt;=4,N35&gt;3.6),"A+",AND(N35&lt;=3.6,N35&gt;3.2),"A",AND(N35&lt;=3.2,N35&gt;2.8),"B+",AND(N35&lt;=2.8,N35&gt;2.4),"B",AND(N35&lt;=2.4,N35&gt;2),"C+",AND(N35&lt;=2,N35&gt;1.6),"C",N35=1.6,"D",TRUE,"NG")</f>
        <v>A+</v>
      </c>
      <c r="P35" s="7">
        <v>40</v>
      </c>
      <c r="Q35" s="7" cm="1">
        <f t="array" ref="Q35">_xlfn.IFS(P35/75*100&gt;=90,4,P35/75*100&gt;=80,3.6,P35/75*100&gt;=70,3.2,P35/75*100&gt;=60,2.8,P35/75*100&gt;=50,2.4,P35/75*100&gt;=40,2,P35/75*100&gt;=35,1.6,TRUE, 0)</f>
        <v>2.4</v>
      </c>
      <c r="R35" s="7" t="str" cm="1">
        <f t="array" ref="R35">_xlfn.IFS(Q35=4,"A+",Q35=3.6,"A",Q35=3.2,"B+",Q35=2.8,"B",Q35=2.4,"C+",Q35=2,"C",Q35=1.6,"D",TRUE,"NG")</f>
        <v>C+</v>
      </c>
      <c r="S35" s="7" cm="1">
        <f t="array" ref="S35">_xlfn.IFS(P35&gt;=70,25,P35&gt;=60,24,P35&gt;=50,23,P35&gt;=40,22,P35&gt;=30,21,TRUE,20)</f>
        <v>22</v>
      </c>
      <c r="T35" s="7" cm="1">
        <f t="array" ref="T35">_xlfn.IFS(S35/25*100&gt;=90,4,S35/25*100&gt;=80,3.6,S35/25*100&gt;=70,3.2,S35/25*100&gt;=60,2.8,S35/25*100&gt;=50,2.4,S35/25*100&gt;=40,2,S35/25*100&gt;=35,1.6,TRUE, 0)</f>
        <v>3.6</v>
      </c>
      <c r="U35" s="7" t="str" cm="1">
        <f t="array" ref="U35">_xlfn.IFS(T35=4,"A+",T35=3.6,"A",T35=3.2,"B+",T35=2.8,"B",T35=2.4,"C+",T35=2,"C",T35=1.6,"D",TRUE,"NG")</f>
        <v>A</v>
      </c>
      <c r="V35" s="7">
        <f t="shared" si="6"/>
        <v>2.6999999999999997</v>
      </c>
      <c r="W35" s="7" t="str" cm="1">
        <f t="array" ref="W35">_xlfn.IFS(AND(V35&lt;=4,V35&gt;3.6),"A+",AND(V35&lt;=3.6,V35&gt;3.2),"A",AND(V35&lt;=3.2,V35&gt;2.8),"B+",AND(V35&lt;=2.8,V35&gt;2.4),"B",AND(V35&lt;=2.4,V35&gt;2),"C+",AND(V35&lt;=2,V35&gt;1.6),"C",V35=1.6,"D",TRUE,"NG")</f>
        <v>B</v>
      </c>
      <c r="X35" s="7">
        <v>39</v>
      </c>
      <c r="Y35" s="7" cm="1">
        <f t="array" ref="Y35">_xlfn.IFS(X35/75*100&gt;=90,4,X35/75*100&gt;=80,3.6,X35/75*100&gt;=70,3.2,X35/75*100&gt;=60,2.8,X35/75*100&gt;=50,2.4,X35/75*100&gt;=40,2,X35/75*100&gt;=35,1.6,TRUE, 0)</f>
        <v>2.4</v>
      </c>
      <c r="Z35" s="7" t="str" cm="1">
        <f t="array" ref="Z35">_xlfn.IFS(Y35=4,"A+",Y35=3.6,"A",Y35=3.2,"B+",Y35=2.8,"B",Y35=2.4,"C+",Y35=2,"C",Y35=1.6,"D",TRUE,"NG")</f>
        <v>C+</v>
      </c>
      <c r="AA35" s="7" cm="1">
        <f t="array" ref="AA35">_xlfn.IFS(X35&gt;=70,25,X35&gt;=60,24,X35&gt;=50,23,X35&gt;=40,22,X35&gt;=30,21,TRUE,20)</f>
        <v>21</v>
      </c>
      <c r="AB35" s="7" cm="1">
        <f t="array" ref="AB35">_xlfn.IFS(AA35/25*100&gt;=90,4,AA35/25*100&gt;=80,3.6,AA35/25*100&gt;=70,3.2,AA35/25*100&gt;=60,2.8,AA35/25*100&gt;=50,2.4,AA35/25*100&gt;=40,2,AA35/25*100&gt;=35,1.6,TRUE, 0)</f>
        <v>3.6</v>
      </c>
      <c r="AC35" s="7" t="str" cm="1">
        <f t="array" ref="AC35">_xlfn.IFS(AB35=4,"A+",AB35=3.6,"A",AB35=3.2,"B+",AB35=2.8,"B",AB35=2.4,"C+",AB35=2,"C",AB35=1.6,"D",TRUE,"NG")</f>
        <v>A</v>
      </c>
      <c r="AD35" s="7">
        <f t="shared" si="7"/>
        <v>2.7</v>
      </c>
      <c r="AE35" s="7" t="str" cm="1">
        <f t="array" ref="AE35">_xlfn.IFS(AND(AD35&lt;=4,AD35&gt;3.6),"A+",AND(AD35&lt;=3.6,AD35&gt;3.2),"A",AND(AD35&lt;=3.2,AD35&gt;2.8),"B+",AND(AD35&lt;=2.8,AD35&gt;2.4),"B",AND(AD35&lt;=2.4,AD35&gt;2),"C+",AND(AD35&lt;=2,AD35&gt;1.6),"C",AD35=1.6,"D",TRUE,"NG")</f>
        <v>B</v>
      </c>
      <c r="AF35" s="7">
        <v>58</v>
      </c>
      <c r="AG35" s="7" cm="1">
        <f t="array" ref="AG35">_xlfn.IFS(AF35/75*100&gt;=90,4,AF35/75*100&gt;=80,3.6,AF35/75*100&gt;=70,3.2,AF35/75*100&gt;=60,2.8,AF35/75*100&gt;=50,2.4,AF35/75*100&gt;=40,2,AF35/75*100&gt;=35,1.6,TRUE, 0)</f>
        <v>3.2</v>
      </c>
      <c r="AH35" s="7" t="str" cm="1">
        <f t="array" ref="AH35">_xlfn.IFS(AG35=4,"A+",AG35=3.6,"A",AG35=3.2,"B+",AG35=2.8,"B",AG35=2.4,"C+",AG35=2,"C",AG35=1.6,"D",TRUE,"NG")</f>
        <v>B+</v>
      </c>
      <c r="AI35" s="7" cm="1">
        <f t="array" ref="AI35">_xlfn.IFS(AF35&gt;=70,25,AF35&gt;=60,24,AF35&gt;=50,23,AF35&gt;=40,22,AF35&gt;=30,21,TRUE,20)</f>
        <v>23</v>
      </c>
      <c r="AJ35" s="7" cm="1">
        <f t="array" ref="AJ35">_xlfn.IFS(AI35/25*100&gt;=90,4,AI35/25*100&gt;=80,3.6,AI35/25*100&gt;=70,3.2,AI35/25*100&gt;=60,2.8,AI35/25*100&gt;=50,2.4,AI35/25*100&gt;=40,2,AI35/25*100&gt;=35,1.6,TRUE, 0)</f>
        <v>4</v>
      </c>
      <c r="AK35" s="7" t="str" cm="1">
        <f t="array" ref="AK35">_xlfn.IFS(AJ35=4,"A+",AJ35=3.6,"A",AJ35=3.2,"B+",AJ35=2.8,"B",AJ35=2.4,"C+",AJ35=2,"C",AJ35=1.6,"D",TRUE,"NG")</f>
        <v>A+</v>
      </c>
      <c r="AL35" s="7">
        <f t="shared" si="8"/>
        <v>3.4</v>
      </c>
      <c r="AM35" s="7" t="str" cm="1">
        <f t="array" ref="AM35">_xlfn.IFS(AND(AL35&lt;=4,AL35&gt;3.6),"A+",AND(AL35&lt;=3.6,AL35&gt;3.2),"A",AND(AL35&lt;=3.2,AL35&gt;2.8),"B+",AND(AL35&lt;=2.8,AL35&gt;2.4),"B",AND(AL35&lt;=2.4,AL35&gt;2),"C+",AND(AL35&lt;=2,AL35&gt;1.6),"C",AL35=1.6,"D",TRUE,"NG")</f>
        <v>A</v>
      </c>
      <c r="AN35" s="7">
        <v>54</v>
      </c>
      <c r="AO35" s="7" cm="1">
        <f t="array" ref="AO35">_xlfn.IFS(AN35/75*100&gt;=90,4,AN35/75*100&gt;=80,3.6,AN35/75*100&gt;=70,3.2,AN35/75*100&gt;=60,2.8,AN35/75*100&gt;=50,2.4,AN35/75*100&gt;=40,2,AN35/75*100&gt;=35,1.6,TRUE, 0)</f>
        <v>3.2</v>
      </c>
      <c r="AP35" s="7" t="str" cm="1">
        <f t="array" ref="AP35">_xlfn.IFS(AO35=4,"A+",AO35=3.6,"A",AO35=3.2,"B+",AO35=2.8,"B",AO35=2.4,"C+",AO35=2,"C",AO35=1.6,"D",TRUE,"NG")</f>
        <v>B+</v>
      </c>
      <c r="AQ35" s="7" cm="1">
        <f t="array" ref="AQ35">_xlfn.IFS(AN35&gt;=70,25,AN35&gt;=60,24,AN35&gt;=50,23,AN35&gt;=40,22,AN35&gt;=30,21,TRUE,20)</f>
        <v>23</v>
      </c>
      <c r="AR35" s="7" cm="1">
        <f t="array" ref="AR35">_xlfn.IFS(AQ35/25*100&gt;=90,4,AQ35/25*100&gt;=80,3.6,AQ35/25*100&gt;=70,3.2,AQ35/25*100&gt;=60,2.8,AQ35/25*100&gt;=50,2.4,AQ35/25*100&gt;=40,2,AQ35/25*100&gt;=35,1.6,TRUE, 0)</f>
        <v>4</v>
      </c>
      <c r="AS35" s="7" t="str" cm="1">
        <f t="array" ref="AS35">_xlfn.IFS(AR35=4,"A+",AR35=3.6,"A",AR35=3.2,"B+",AR35=2.8,"B",AR35=2.4,"C+",AR35=2,"C",AR35=1.6,"D",TRUE,"NG")</f>
        <v>A+</v>
      </c>
      <c r="AT35" s="7">
        <f t="shared" si="9"/>
        <v>3.4</v>
      </c>
      <c r="AU35" s="7" t="str" cm="1">
        <f t="array" ref="AU35">_xlfn.IFS(AND(AT35&lt;=4,AT35&gt;3.6),"A+",AND(AT35&lt;=3.6,AT35&gt;3.2),"A",AND(AT35&lt;=3.2,AT35&gt;2.8),"B+",AND(AT35&lt;=2.8,AT35&gt;2.4),"B",AND(AT35&lt;=2.4,AT35&gt;2),"C+",AND(AT35&lt;=2,AT35&gt;1.6),"C",AT35=1.6,"D",TRUE,"NG")</f>
        <v>A</v>
      </c>
      <c r="AV35" s="7">
        <v>42</v>
      </c>
      <c r="AW35" s="7" cm="1">
        <f t="array" ref="AW35">IF(E35="BS",(_xlfn.IFS(AV35/75*100&gt;=90,4,AV35/75*100&gt;=80,3.6,AV35/75*100&gt;=70,3.2,AV35/75*100&gt;=60,2.8,AV35/75*100&gt;=50,2.4,AV35/75*100&gt;=40,2,AV35/75*100&gt;=35,1.6,TRUE, 0)),(_xlfn.IFS(AV35/50*100&gt;=90,4,AV35/50*100&gt;=80,3.6,AV35/50*100&gt;=70,3.2,AV35/50*100&gt;=60,2.8,AV35/50*100&gt;=50,2.4,AV35/50*100&gt;=40,2,AV35/50*100&gt;=35,1.6,TRUE, 0)))</f>
        <v>3.6</v>
      </c>
      <c r="AX35" s="7" t="str" cm="1">
        <f t="array" ref="AX35">_xlfn.IFS(AW35="-","-",AW35=4,"A+",AW35=3.6,"A",AW35=3.2,"B+",AW35=2.8,"B",AW35=2.4,"C+",AW35=2,"C",AW35=1.6,"D",TRUE,"NG")</f>
        <v>A</v>
      </c>
      <c r="AY35" s="7" cm="1">
        <f t="array" ref="AY35">IF(E35="BS",(_xlfn.IFS(AV35&gt;=70,25,AV35&gt;=60,24,AV35&gt;=50,23,AV35&gt;=40,22,AV35&gt;=30,21,TRUE,20)),(_xlfn.IFS(AV35&gt;=45,48,AV35&gt;=40,46,AV35&gt;=35,44,AV35&gt;=30,40,AV35&gt;=25,38,TRUE,20)))</f>
        <v>46</v>
      </c>
      <c r="AZ35" s="7" cm="1">
        <f t="array" ref="AZ35">IF(E35="BS",(_xlfn.IFS(AY35/25*100&gt;=90,4,AY35/25*100&gt;=80,3.6,AY35/25*100&gt;=70,3.2,AY35/25*100&gt;=60,2.8,AY35/25*100&gt;=50,2.4,AY35/25*100&gt;=40,2,AY35/25*100&gt;=35,1.6,TRUE, 0)),(_xlfn.IFS(AY35/50*100&gt;=90,4,AY35/50*100&gt;=80,3.6,AY35/50*100&gt;=70,3.2,AY35/50*100&gt;=60,2.8,AY35/50*100&gt;=50,2.4,AY35/50*100&gt;=40,2,AY35/50*100&gt;=35,1.6,TRUE, 0)))</f>
        <v>4</v>
      </c>
      <c r="BA35" s="7" t="str" cm="1">
        <f t="array" ref="BA35">_xlfn.IFS(AZ35="-","-",AZ35=4,"A+",AZ35=3.6,"A",AZ35=3.2,"B+",AZ35=2.8,"B",AZ35=2.4,"C+",AZ35=2,"C",AZ35=1.6,"D",TRUE,"NG")</f>
        <v>A+</v>
      </c>
      <c r="BB35" s="7">
        <f>IF(E35="BS",(AW35*3.75+AZ35*1.25)/5,(AW35*2.5+AZ35*2.5)/5)</f>
        <v>3.8</v>
      </c>
      <c r="BC35" s="7" t="str" cm="1">
        <f t="array" ref="BC35">_xlfn.IFS(BB35="-","-",AND(BB35&lt;=4,BB35&gt;3.6),"A+",AND(BB35&lt;=3.6,BB35&gt;3.2),"A",AND(BB35&lt;=3.2,BB35&gt;2.8),"B+",AND(BB35&lt;=2.8,BB35&gt;2.4),"B",AND(BB35&lt;=2.4,BB35&gt;2),"C+",AND(BB35&lt;=2,BB35&gt;1.6),"C",BB35=1.6,"D",TRUE,"NG")</f>
        <v>A+</v>
      </c>
      <c r="BD35" s="12">
        <f>IF(E35="BS",(((I35*3+L35*1)+(Q35*2.25+T35*0.75)+(Y35*3.75+AB35*1.25)+(AG35*3.75+AJ35*1.25)+(AO35*3.75+AR35*1.25)+(AW35*3.75+AZ35*1.25))/(4+3+5*4)),(((I35*3+L35*1)+(Q35*2.25+T35*0.75)+(Y35*3.75+AB35*1.25)+(AG35*3.75+AJ35*1.25)+(AO35*3.75+AR35*1.25)+(AW35*2.5+AZ35*2.5))/(4+3+5*4)))</f>
        <v>3.3111111111111113</v>
      </c>
    </row>
    <row r="36" spans="1:56" x14ac:dyDescent="0.3">
      <c r="A36" s="2">
        <v>42</v>
      </c>
      <c r="B36" s="16">
        <v>793270280055</v>
      </c>
      <c r="C36" s="17">
        <v>12706906</v>
      </c>
      <c r="D36" s="6" t="s">
        <v>298</v>
      </c>
      <c r="E36" s="7" t="s">
        <v>80</v>
      </c>
      <c r="F36" s="20" t="s">
        <v>369</v>
      </c>
      <c r="G36" s="3" t="s">
        <v>335</v>
      </c>
      <c r="H36" s="7">
        <v>49</v>
      </c>
      <c r="I36" s="7" cm="1">
        <f t="array" ref="I36">_xlfn.IFS(H36/75*100&gt;=90,4,H36/75*100&gt;=80,3.6,H36/75*100&gt;=70,3.2,H36/75*100&gt;=60,2.8,H36/75*100&gt;=50,2.4,H36/75*100&gt;=40,2,H36/75*100&gt;=35,1.6,TRUE, 0)</f>
        <v>2.8</v>
      </c>
      <c r="J36" s="7" t="str" cm="1">
        <f t="array" ref="J36">_xlfn.IFS(I36=4,"A+",I36=3.6,"A",I36=3.2,"B+",I36=2.8,"B",I36=2.4,"C+",I36=2,"C",I36=1.6,"D",TRUE,"NG")</f>
        <v>B</v>
      </c>
      <c r="K36" s="7" cm="1">
        <f t="array" ref="K36">_xlfn.IFS(H36&gt;=70,25,H36&gt;=60,24,H36&gt;=50,23,H36&gt;=40,22,H36&gt;=30,21,TRUE,20)</f>
        <v>22</v>
      </c>
      <c r="L36" s="7" cm="1">
        <f t="array" ref="L36">_xlfn.IFS(K36/25*100&gt;=90,4,K36/25*100&gt;=80,3.6,K36/25*100&gt;=70,3.2,K36/25*100&gt;=60,2.8,K36/25*100&gt;=50,2.4,K36/25*100&gt;=40,2,K36/25*100&gt;=35,1.6,TRUE, 0)</f>
        <v>3.6</v>
      </c>
      <c r="M36" s="7" t="str" cm="1">
        <f t="array" ref="M36">_xlfn.IFS(L36=4,"A+",L36=3.6,"A",L36=3.2,"B+",L36=2.8,"B",L36=2.4,"C+",L36=2,"C",L36=1.6,"D",TRUE,"NG")</f>
        <v>A</v>
      </c>
      <c r="N36" s="7">
        <f t="shared" si="5"/>
        <v>2.9999999999999996</v>
      </c>
      <c r="O36" s="7" t="str" cm="1">
        <f t="array" ref="O36">_xlfn.IFS(AND(N36&lt;=4,N36&gt;3.6),"A+",AND(N36&lt;=3.6,N36&gt;3.2),"A",AND(N36&lt;=3.2,N36&gt;2.8),"B+",AND(N36&lt;=2.8,N36&gt;2.4),"B",AND(N36&lt;=2.4,N36&gt;2),"C+",AND(N36&lt;=2,N36&gt;1.6),"C",N36=1.6,"D",TRUE,"NG")</f>
        <v>B+</v>
      </c>
      <c r="P36" s="7">
        <v>35</v>
      </c>
      <c r="Q36" s="7" cm="1">
        <f t="array" ref="Q36">_xlfn.IFS(P36/75*100&gt;=90,4,P36/75*100&gt;=80,3.6,P36/75*100&gt;=70,3.2,P36/75*100&gt;=60,2.8,P36/75*100&gt;=50,2.4,P36/75*100&gt;=40,2,P36/75*100&gt;=35,1.6,TRUE, 0)</f>
        <v>2</v>
      </c>
      <c r="R36" s="7" t="str" cm="1">
        <f t="array" ref="R36">_xlfn.IFS(Q36=4,"A+",Q36=3.6,"A",Q36=3.2,"B+",Q36=2.8,"B",Q36=2.4,"C+",Q36=2,"C",Q36=1.6,"D",TRUE,"NG")</f>
        <v>C</v>
      </c>
      <c r="S36" s="7" cm="1">
        <f t="array" ref="S36">_xlfn.IFS(P36&gt;=70,25,P36&gt;=60,24,P36&gt;=50,23,P36&gt;=40,22,P36&gt;=30,21,TRUE,20)</f>
        <v>21</v>
      </c>
      <c r="T36" s="7" cm="1">
        <f t="array" ref="T36">_xlfn.IFS(S36/25*100&gt;=90,4,S36/25*100&gt;=80,3.6,S36/25*100&gt;=70,3.2,S36/25*100&gt;=60,2.8,S36/25*100&gt;=50,2.4,S36/25*100&gt;=40,2,S36/25*100&gt;=35,1.6,TRUE, 0)</f>
        <v>3.6</v>
      </c>
      <c r="U36" s="7" t="str" cm="1">
        <f t="array" ref="U36">_xlfn.IFS(T36=4,"A+",T36=3.6,"A",T36=3.2,"B+",T36=2.8,"B",T36=2.4,"C+",T36=2,"C",T36=1.6,"D",TRUE,"NG")</f>
        <v>A</v>
      </c>
      <c r="V36" s="7">
        <f t="shared" si="6"/>
        <v>2.4</v>
      </c>
      <c r="W36" s="7" t="str" cm="1">
        <f t="array" ref="W36">_xlfn.IFS(AND(V36&lt;=4,V36&gt;3.6),"A+",AND(V36&lt;=3.6,V36&gt;3.2),"A",AND(V36&lt;=3.2,V36&gt;2.8),"B+",AND(V36&lt;=2.8,V36&gt;2.4),"B",AND(V36&lt;=2.4,V36&gt;2),"C+",AND(V36&lt;=2,V36&gt;1.6),"C",V36=1.6,"D",TRUE,"NG")</f>
        <v>C+</v>
      </c>
      <c r="X36" s="7">
        <v>42</v>
      </c>
      <c r="Y36" s="7" cm="1">
        <f t="array" ref="Y36">_xlfn.IFS(X36/75*100&gt;=90,4,X36/75*100&gt;=80,3.6,X36/75*100&gt;=70,3.2,X36/75*100&gt;=60,2.8,X36/75*100&gt;=50,2.4,X36/75*100&gt;=40,2,X36/75*100&gt;=35,1.6,TRUE, 0)</f>
        <v>2.4</v>
      </c>
      <c r="Z36" s="7" t="str" cm="1">
        <f t="array" ref="Z36">_xlfn.IFS(Y36=4,"A+",Y36=3.6,"A",Y36=3.2,"B+",Y36=2.8,"B",Y36=2.4,"C+",Y36=2,"C",Y36=1.6,"D",TRUE,"NG")</f>
        <v>C+</v>
      </c>
      <c r="AA36" s="7" cm="1">
        <f t="array" ref="AA36">_xlfn.IFS(X36&gt;=70,25,X36&gt;=60,24,X36&gt;=50,23,X36&gt;=40,22,X36&gt;=30,21,TRUE,20)</f>
        <v>22</v>
      </c>
      <c r="AB36" s="7" cm="1">
        <f t="array" ref="AB36">_xlfn.IFS(AA36/25*100&gt;=90,4,AA36/25*100&gt;=80,3.6,AA36/25*100&gt;=70,3.2,AA36/25*100&gt;=60,2.8,AA36/25*100&gt;=50,2.4,AA36/25*100&gt;=40,2,AA36/25*100&gt;=35,1.6,TRUE, 0)</f>
        <v>3.6</v>
      </c>
      <c r="AC36" s="7" t="str" cm="1">
        <f t="array" ref="AC36">_xlfn.IFS(AB36=4,"A+",AB36=3.6,"A",AB36=3.2,"B+",AB36=2.8,"B",AB36=2.4,"C+",AB36=2,"C",AB36=1.6,"D",TRUE,"NG")</f>
        <v>A</v>
      </c>
      <c r="AD36" s="7">
        <f t="shared" si="7"/>
        <v>2.7</v>
      </c>
      <c r="AE36" s="7" t="str" cm="1">
        <f t="array" ref="AE36">_xlfn.IFS(AND(AD36&lt;=4,AD36&gt;3.6),"A+",AND(AD36&lt;=3.6,AD36&gt;3.2),"A",AND(AD36&lt;=3.2,AD36&gt;2.8),"B+",AND(AD36&lt;=2.8,AD36&gt;2.4),"B",AND(AD36&lt;=2.4,AD36&gt;2),"C+",AND(AD36&lt;=2,AD36&gt;1.6),"C",AD36=1.6,"D",TRUE,"NG")</f>
        <v>B</v>
      </c>
      <c r="AF36" s="7">
        <v>39</v>
      </c>
      <c r="AG36" s="7" cm="1">
        <f t="array" ref="AG36">_xlfn.IFS(AF36/75*100&gt;=90,4,AF36/75*100&gt;=80,3.6,AF36/75*100&gt;=70,3.2,AF36/75*100&gt;=60,2.8,AF36/75*100&gt;=50,2.4,AF36/75*100&gt;=40,2,AF36/75*100&gt;=35,1.6,TRUE, 0)</f>
        <v>2.4</v>
      </c>
      <c r="AH36" s="7" t="str" cm="1">
        <f t="array" ref="AH36">_xlfn.IFS(AG36=4,"A+",AG36=3.6,"A",AG36=3.2,"B+",AG36=2.8,"B",AG36=2.4,"C+",AG36=2,"C",AG36=1.6,"D",TRUE,"NG")</f>
        <v>C+</v>
      </c>
      <c r="AI36" s="7" cm="1">
        <f t="array" ref="AI36">_xlfn.IFS(AF36&gt;=70,25,AF36&gt;=60,24,AF36&gt;=50,23,AF36&gt;=40,22,AF36&gt;=30,21,TRUE,20)</f>
        <v>21</v>
      </c>
      <c r="AJ36" s="7" cm="1">
        <f t="array" ref="AJ36">_xlfn.IFS(AI36/25*100&gt;=90,4,AI36/25*100&gt;=80,3.6,AI36/25*100&gt;=70,3.2,AI36/25*100&gt;=60,2.8,AI36/25*100&gt;=50,2.4,AI36/25*100&gt;=40,2,AI36/25*100&gt;=35,1.6,TRUE, 0)</f>
        <v>3.6</v>
      </c>
      <c r="AK36" s="7" t="str" cm="1">
        <f t="array" ref="AK36">_xlfn.IFS(AJ36=4,"A+",AJ36=3.6,"A",AJ36=3.2,"B+",AJ36=2.8,"B",AJ36=2.4,"C+",AJ36=2,"C",AJ36=1.6,"D",TRUE,"NG")</f>
        <v>A</v>
      </c>
      <c r="AL36" s="7">
        <f t="shared" si="8"/>
        <v>2.7</v>
      </c>
      <c r="AM36" s="7" t="str" cm="1">
        <f t="array" ref="AM36">_xlfn.IFS(AND(AL36&lt;=4,AL36&gt;3.6),"A+",AND(AL36&lt;=3.6,AL36&gt;3.2),"A",AND(AL36&lt;=3.2,AL36&gt;2.8),"B+",AND(AL36&lt;=2.8,AL36&gt;2.4),"B",AND(AL36&lt;=2.4,AL36&gt;2),"C+",AND(AL36&lt;=2,AL36&gt;1.6),"C",AL36=1.6,"D",TRUE,"NG")</f>
        <v>B</v>
      </c>
      <c r="AN36" s="7">
        <v>55</v>
      </c>
      <c r="AO36" s="7" cm="1">
        <f t="array" ref="AO36">_xlfn.IFS(AN36/75*100&gt;=90,4,AN36/75*100&gt;=80,3.6,AN36/75*100&gt;=70,3.2,AN36/75*100&gt;=60,2.8,AN36/75*100&gt;=50,2.4,AN36/75*100&gt;=40,2,AN36/75*100&gt;=35,1.6,TRUE, 0)</f>
        <v>3.2</v>
      </c>
      <c r="AP36" s="7" t="str" cm="1">
        <f t="array" ref="AP36">_xlfn.IFS(AO36=4,"A+",AO36=3.6,"A",AO36=3.2,"B+",AO36=2.8,"B",AO36=2.4,"C+",AO36=2,"C",AO36=1.6,"D",TRUE,"NG")</f>
        <v>B+</v>
      </c>
      <c r="AQ36" s="7" cm="1">
        <f t="array" ref="AQ36">_xlfn.IFS(AN36&gt;=70,25,AN36&gt;=60,24,AN36&gt;=50,23,AN36&gt;=40,22,AN36&gt;=30,21,TRUE,20)</f>
        <v>23</v>
      </c>
      <c r="AR36" s="7" cm="1">
        <f t="array" ref="AR36">_xlfn.IFS(AQ36/25*100&gt;=90,4,AQ36/25*100&gt;=80,3.6,AQ36/25*100&gt;=70,3.2,AQ36/25*100&gt;=60,2.8,AQ36/25*100&gt;=50,2.4,AQ36/25*100&gt;=40,2,AQ36/25*100&gt;=35,1.6,TRUE, 0)</f>
        <v>4</v>
      </c>
      <c r="AS36" s="7" t="str" cm="1">
        <f t="array" ref="AS36">_xlfn.IFS(AR36=4,"A+",AR36=3.6,"A",AR36=3.2,"B+",AR36=2.8,"B",AR36=2.4,"C+",AR36=2,"C",AR36=1.6,"D",TRUE,"NG")</f>
        <v>A+</v>
      </c>
      <c r="AT36" s="7">
        <f t="shared" si="9"/>
        <v>3.4</v>
      </c>
      <c r="AU36" s="7" t="str" cm="1">
        <f t="array" ref="AU36">_xlfn.IFS(AND(AT36&lt;=4,AT36&gt;3.6),"A+",AND(AT36&lt;=3.6,AT36&gt;3.2),"A",AND(AT36&lt;=3.2,AT36&gt;2.8),"B+",AND(AT36&lt;=2.8,AT36&gt;2.4),"B",AND(AT36&lt;=2.4,AT36&gt;2),"C+",AND(AT36&lt;=2,AT36&gt;1.6),"C",AT36=1.6,"D",TRUE,"NG")</f>
        <v>A</v>
      </c>
      <c r="AV36" s="7">
        <v>35</v>
      </c>
      <c r="AW36" s="7" cm="1">
        <f t="array" ref="AW36">IF(E36="BS",(_xlfn.IFS(AV36/75*100&gt;=90,4,AV36/75*100&gt;=80,3.6,AV36/75*100&gt;=70,3.2,AV36/75*100&gt;=60,2.8,AV36/75*100&gt;=50,2.4,AV36/75*100&gt;=40,2,AV36/75*100&gt;=35,1.6,TRUE, 0)),(_xlfn.IFS(AV36/50*100&gt;=90,4,AV36/50*100&gt;=80,3.6,AV36/50*100&gt;=70,3.2,AV36/50*100&gt;=60,2.8,AV36/50*100&gt;=50,2.4,AV36/50*100&gt;=40,2,AV36/50*100&gt;=35,1.6,TRUE, 0)))</f>
        <v>3.2</v>
      </c>
      <c r="AX36" s="7" t="str" cm="1">
        <f t="array" ref="AX36">_xlfn.IFS(AW36="-","-",AW36=4,"A+",AW36=3.6,"A",AW36=3.2,"B+",AW36=2.8,"B",AW36=2.4,"C+",AW36=2,"C",AW36=1.6,"D",TRUE,"NG")</f>
        <v>B+</v>
      </c>
      <c r="AY36" s="7" cm="1">
        <f t="array" ref="AY36">IF(E36="BS",(_xlfn.IFS(AV36&gt;=70,25,AV36&gt;=60,24,AV36&gt;=50,23,AV36&gt;=40,22,AV36&gt;=30,21,TRUE,20)),(_xlfn.IFS(AV36&gt;=45,48,AV36&gt;=40,46,AV36&gt;=35,44,AV36&gt;=30,40,AV36&gt;=25,38,TRUE,20)))</f>
        <v>44</v>
      </c>
      <c r="AZ36" s="7" cm="1">
        <f t="array" ref="AZ36">IF(E36="BS",(_xlfn.IFS(AY36/25*100&gt;=90,4,AY36/25*100&gt;=80,3.6,AY36/25*100&gt;=70,3.2,AY36/25*100&gt;=60,2.8,AY36/25*100&gt;=50,2.4,AY36/25*100&gt;=40,2,AY36/25*100&gt;=35,1.6,TRUE, 0)),(_xlfn.IFS(AY36/50*100&gt;=90,4,AY36/50*100&gt;=80,3.6,AY36/50*100&gt;=70,3.2,AY36/50*100&gt;=60,2.8,AY36/50*100&gt;=50,2.4,AY36/50*100&gt;=40,2,AY36/50*100&gt;=35,1.6,TRUE, 0)))</f>
        <v>3.6</v>
      </c>
      <c r="BA36" s="7" t="str" cm="1">
        <f t="array" ref="BA36">_xlfn.IFS(AZ36="-","-",AZ36=4,"A+",AZ36=3.6,"A",AZ36=3.2,"B+",AZ36=2.8,"B",AZ36=2.4,"C+",AZ36=2,"C",AZ36=1.6,"D",TRUE,"NG")</f>
        <v>A</v>
      </c>
      <c r="BB36" s="7">
        <f>IF(E36="BS",(AW36*3.75+AZ36*1.25)/5,(AW36*2.5+AZ36*2.5)/5)</f>
        <v>3.4</v>
      </c>
      <c r="BC36" s="7" t="str" cm="1">
        <f t="array" ref="BC36">_xlfn.IFS(BB36="-","-",AND(BB36&lt;=4,BB36&gt;3.6),"A+",AND(BB36&lt;=3.6,BB36&gt;3.2),"A",AND(BB36&lt;=3.2,BB36&gt;2.8),"B+",AND(BB36&lt;=2.8,BB36&gt;2.4),"B",AND(BB36&lt;=2.4,BB36&gt;2),"C+",AND(BB36&lt;=2,BB36&gt;1.6),"C",BB36=1.6,"D",TRUE,"NG")</f>
        <v>A</v>
      </c>
      <c r="BD36" s="12">
        <f>IF(E36="BS",(((I36*3+L36*1)+(Q36*2.25+T36*0.75)+(Y36*3.75+AB36*1.25)+(AG36*3.75+AJ36*1.25)+(AO36*3.75+AR36*1.25)+(AW36*3.75+AZ36*1.25))/(4+3+5*4)),(((I36*3+L36*1)+(Q36*2.25+T36*0.75)+(Y36*3.75+AB36*1.25)+(AG36*3.75+AJ36*1.25)+(AO36*3.75+AR36*1.25)+(AW36*2.5+AZ36*2.5))/(4+3+5*4)))</f>
        <v>2.9703703703703703</v>
      </c>
    </row>
    <row r="37" spans="1:56" x14ac:dyDescent="0.3">
      <c r="A37" s="2">
        <v>43</v>
      </c>
      <c r="B37" s="16">
        <v>793270280072</v>
      </c>
      <c r="C37" s="17">
        <v>12706923</v>
      </c>
      <c r="D37" s="6" t="s">
        <v>299</v>
      </c>
      <c r="E37" s="7" t="s">
        <v>80</v>
      </c>
      <c r="F37" s="20" t="s">
        <v>370</v>
      </c>
      <c r="G37" s="3" t="s">
        <v>336</v>
      </c>
      <c r="H37" s="7">
        <v>38</v>
      </c>
      <c r="I37" s="7" cm="1">
        <f t="array" ref="I37">_xlfn.IFS(H37/75*100&gt;=90,4,H37/75*100&gt;=80,3.6,H37/75*100&gt;=70,3.2,H37/75*100&gt;=60,2.8,H37/75*100&gt;=50,2.4,H37/75*100&gt;=40,2,H37/75*100&gt;=35,1.6,TRUE, 0)</f>
        <v>2.4</v>
      </c>
      <c r="J37" s="7" t="str" cm="1">
        <f t="array" ref="J37">_xlfn.IFS(I37=4,"A+",I37=3.6,"A",I37=3.2,"B+",I37=2.8,"B",I37=2.4,"C+",I37=2,"C",I37=1.6,"D",TRUE,"NG")</f>
        <v>C+</v>
      </c>
      <c r="K37" s="7" cm="1">
        <f t="array" ref="K37">_xlfn.IFS(H37&gt;=70,25,H37&gt;=60,24,H37&gt;=50,23,H37&gt;=40,22,H37&gt;=30,21,TRUE,20)</f>
        <v>21</v>
      </c>
      <c r="L37" s="7" cm="1">
        <f t="array" ref="L37">_xlfn.IFS(K37/25*100&gt;=90,4,K37/25*100&gt;=80,3.6,K37/25*100&gt;=70,3.2,K37/25*100&gt;=60,2.8,K37/25*100&gt;=50,2.4,K37/25*100&gt;=40,2,K37/25*100&gt;=35,1.6,TRUE, 0)</f>
        <v>3.6</v>
      </c>
      <c r="M37" s="7" t="str" cm="1">
        <f t="array" ref="M37">_xlfn.IFS(L37=4,"A+",L37=3.6,"A",L37=3.2,"B+",L37=2.8,"B",L37=2.4,"C+",L37=2,"C",L37=1.6,"D",TRUE,"NG")</f>
        <v>A</v>
      </c>
      <c r="N37" s="7">
        <f t="shared" si="5"/>
        <v>2.6999999999999997</v>
      </c>
      <c r="O37" s="7" t="str" cm="1">
        <f t="array" ref="O37">_xlfn.IFS(AND(N37&lt;=4,N37&gt;3.6),"A+",AND(N37&lt;=3.6,N37&gt;3.2),"A",AND(N37&lt;=3.2,N37&gt;2.8),"B+",AND(N37&lt;=2.8,N37&gt;2.4),"B",AND(N37&lt;=2.4,N37&gt;2),"C+",AND(N37&lt;=2,N37&gt;1.6),"C",N37=1.6,"D",TRUE,"NG")</f>
        <v>B</v>
      </c>
      <c r="P37" s="7">
        <v>38</v>
      </c>
      <c r="Q37" s="7" cm="1">
        <f t="array" ref="Q37">_xlfn.IFS(P37/75*100&gt;=90,4,P37/75*100&gt;=80,3.6,P37/75*100&gt;=70,3.2,P37/75*100&gt;=60,2.8,P37/75*100&gt;=50,2.4,P37/75*100&gt;=40,2,P37/75*100&gt;=35,1.6,TRUE, 0)</f>
        <v>2.4</v>
      </c>
      <c r="R37" s="7" t="str" cm="1">
        <f t="array" ref="R37">_xlfn.IFS(Q37=4,"A+",Q37=3.6,"A",Q37=3.2,"B+",Q37=2.8,"B",Q37=2.4,"C+",Q37=2,"C",Q37=1.6,"D",TRUE,"NG")</f>
        <v>C+</v>
      </c>
      <c r="S37" s="7" cm="1">
        <f t="array" ref="S37">_xlfn.IFS(P37&gt;=70,25,P37&gt;=60,24,P37&gt;=50,23,P37&gt;=40,22,P37&gt;=30,21,TRUE,20)</f>
        <v>21</v>
      </c>
      <c r="T37" s="7" cm="1">
        <f t="array" ref="T37">_xlfn.IFS(S37/25*100&gt;=90,4,S37/25*100&gt;=80,3.6,S37/25*100&gt;=70,3.2,S37/25*100&gt;=60,2.8,S37/25*100&gt;=50,2.4,S37/25*100&gt;=40,2,S37/25*100&gt;=35,1.6,TRUE, 0)</f>
        <v>3.6</v>
      </c>
      <c r="U37" s="7" t="str" cm="1">
        <f t="array" ref="U37">_xlfn.IFS(T37=4,"A+",T37=3.6,"A",T37=3.2,"B+",T37=2.8,"B",T37=2.4,"C+",T37=2,"C",T37=1.6,"D",TRUE,"NG")</f>
        <v>A</v>
      </c>
      <c r="V37" s="7">
        <f t="shared" si="6"/>
        <v>2.6999999999999997</v>
      </c>
      <c r="W37" s="7" t="str" cm="1">
        <f t="array" ref="W37">_xlfn.IFS(AND(V37&lt;=4,V37&gt;3.6),"A+",AND(V37&lt;=3.6,V37&gt;3.2),"A",AND(V37&lt;=3.2,V37&gt;2.8),"B+",AND(V37&lt;=2.8,V37&gt;2.4),"B",AND(V37&lt;=2.4,V37&gt;2),"C+",AND(V37&lt;=2,V37&gt;1.6),"C",V37=1.6,"D",TRUE,"NG")</f>
        <v>B</v>
      </c>
      <c r="X37" s="7">
        <v>37</v>
      </c>
      <c r="Y37" s="7" cm="1">
        <f t="array" ref="Y37">_xlfn.IFS(X37/75*100&gt;=90,4,X37/75*100&gt;=80,3.6,X37/75*100&gt;=70,3.2,X37/75*100&gt;=60,2.8,X37/75*100&gt;=50,2.4,X37/75*100&gt;=40,2,X37/75*100&gt;=35,1.6,TRUE, 0)</f>
        <v>2</v>
      </c>
      <c r="Z37" s="7" t="str" cm="1">
        <f t="array" ref="Z37">_xlfn.IFS(Y37=4,"A+",Y37=3.6,"A",Y37=3.2,"B+",Y37=2.8,"B",Y37=2.4,"C+",Y37=2,"C",Y37=1.6,"D",TRUE,"NG")</f>
        <v>C</v>
      </c>
      <c r="AA37" s="7" cm="1">
        <f t="array" ref="AA37">_xlfn.IFS(X37&gt;=70,25,X37&gt;=60,24,X37&gt;=50,23,X37&gt;=40,22,X37&gt;=30,21,TRUE,20)</f>
        <v>21</v>
      </c>
      <c r="AB37" s="7" cm="1">
        <f t="array" ref="AB37">_xlfn.IFS(AA37/25*100&gt;=90,4,AA37/25*100&gt;=80,3.6,AA37/25*100&gt;=70,3.2,AA37/25*100&gt;=60,2.8,AA37/25*100&gt;=50,2.4,AA37/25*100&gt;=40,2,AA37/25*100&gt;=35,1.6,TRUE, 0)</f>
        <v>3.6</v>
      </c>
      <c r="AC37" s="7" t="str" cm="1">
        <f t="array" ref="AC37">_xlfn.IFS(AB37=4,"A+",AB37=3.6,"A",AB37=3.2,"B+",AB37=2.8,"B",AB37=2.4,"C+",AB37=2,"C",AB37=1.6,"D",TRUE,"NG")</f>
        <v>A</v>
      </c>
      <c r="AD37" s="7">
        <f t="shared" si="7"/>
        <v>2.4</v>
      </c>
      <c r="AE37" s="7" t="str" cm="1">
        <f t="array" ref="AE37">_xlfn.IFS(AND(AD37&lt;=4,AD37&gt;3.6),"A+",AND(AD37&lt;=3.6,AD37&gt;3.2),"A",AND(AD37&lt;=3.2,AD37&gt;2.8),"B+",AND(AD37&lt;=2.8,AD37&gt;2.4),"B",AND(AD37&lt;=2.4,AD37&gt;2),"C+",AND(AD37&lt;=2,AD37&gt;1.6),"C",AD37=1.6,"D",TRUE,"NG")</f>
        <v>C+</v>
      </c>
      <c r="AF37" s="7">
        <v>44</v>
      </c>
      <c r="AG37" s="7" cm="1">
        <f t="array" ref="AG37">_xlfn.IFS(AF37/75*100&gt;=90,4,AF37/75*100&gt;=80,3.6,AF37/75*100&gt;=70,3.2,AF37/75*100&gt;=60,2.8,AF37/75*100&gt;=50,2.4,AF37/75*100&gt;=40,2,AF37/75*100&gt;=35,1.6,TRUE, 0)</f>
        <v>2.4</v>
      </c>
      <c r="AH37" s="7" t="str" cm="1">
        <f t="array" ref="AH37">_xlfn.IFS(AG37=4,"A+",AG37=3.6,"A",AG37=3.2,"B+",AG37=2.8,"B",AG37=2.4,"C+",AG37=2,"C",AG37=1.6,"D",TRUE,"NG")</f>
        <v>C+</v>
      </c>
      <c r="AI37" s="7" cm="1">
        <f t="array" ref="AI37">_xlfn.IFS(AF37&gt;=70,25,AF37&gt;=60,24,AF37&gt;=50,23,AF37&gt;=40,22,AF37&gt;=30,21,TRUE,20)</f>
        <v>22</v>
      </c>
      <c r="AJ37" s="7" cm="1">
        <f t="array" ref="AJ37">_xlfn.IFS(AI37/25*100&gt;=90,4,AI37/25*100&gt;=80,3.6,AI37/25*100&gt;=70,3.2,AI37/25*100&gt;=60,2.8,AI37/25*100&gt;=50,2.4,AI37/25*100&gt;=40,2,AI37/25*100&gt;=35,1.6,TRUE, 0)</f>
        <v>3.6</v>
      </c>
      <c r="AK37" s="7" t="str" cm="1">
        <f t="array" ref="AK37">_xlfn.IFS(AJ37=4,"A+",AJ37=3.6,"A",AJ37=3.2,"B+",AJ37=2.8,"B",AJ37=2.4,"C+",AJ37=2,"C",AJ37=1.6,"D",TRUE,"NG")</f>
        <v>A</v>
      </c>
      <c r="AL37" s="7">
        <f t="shared" si="8"/>
        <v>2.7</v>
      </c>
      <c r="AM37" s="7" t="str" cm="1">
        <f t="array" ref="AM37">_xlfn.IFS(AND(AL37&lt;=4,AL37&gt;3.6),"A+",AND(AL37&lt;=3.6,AL37&gt;3.2),"A",AND(AL37&lt;=3.2,AL37&gt;2.8),"B+",AND(AL37&lt;=2.8,AL37&gt;2.4),"B",AND(AL37&lt;=2.4,AL37&gt;2),"C+",AND(AL37&lt;=2,AL37&gt;1.6),"C",AL37=1.6,"D",TRUE,"NG")</f>
        <v>B</v>
      </c>
      <c r="AN37" s="7">
        <v>46</v>
      </c>
      <c r="AO37" s="7" cm="1">
        <f t="array" ref="AO37">_xlfn.IFS(AN37/75*100&gt;=90,4,AN37/75*100&gt;=80,3.6,AN37/75*100&gt;=70,3.2,AN37/75*100&gt;=60,2.8,AN37/75*100&gt;=50,2.4,AN37/75*100&gt;=40,2,AN37/75*100&gt;=35,1.6,TRUE, 0)</f>
        <v>2.8</v>
      </c>
      <c r="AP37" s="7" t="str" cm="1">
        <f t="array" ref="AP37">_xlfn.IFS(AO37=4,"A+",AO37=3.6,"A",AO37=3.2,"B+",AO37=2.8,"B",AO37=2.4,"C+",AO37=2,"C",AO37=1.6,"D",TRUE,"NG")</f>
        <v>B</v>
      </c>
      <c r="AQ37" s="7" cm="1">
        <f t="array" ref="AQ37">_xlfn.IFS(AN37&gt;=70,25,AN37&gt;=60,24,AN37&gt;=50,23,AN37&gt;=40,22,AN37&gt;=30,21,TRUE,20)</f>
        <v>22</v>
      </c>
      <c r="AR37" s="7" cm="1">
        <f t="array" ref="AR37">_xlfn.IFS(AQ37/25*100&gt;=90,4,AQ37/25*100&gt;=80,3.6,AQ37/25*100&gt;=70,3.2,AQ37/25*100&gt;=60,2.8,AQ37/25*100&gt;=50,2.4,AQ37/25*100&gt;=40,2,AQ37/25*100&gt;=35,1.6,TRUE, 0)</f>
        <v>3.6</v>
      </c>
      <c r="AS37" s="7" t="str" cm="1">
        <f t="array" ref="AS37">_xlfn.IFS(AR37=4,"A+",AR37=3.6,"A",AR37=3.2,"B+",AR37=2.8,"B",AR37=2.4,"C+",AR37=2,"C",AR37=1.6,"D",TRUE,"NG")</f>
        <v>A</v>
      </c>
      <c r="AT37" s="7">
        <f t="shared" si="9"/>
        <v>3</v>
      </c>
      <c r="AU37" s="7" t="str" cm="1">
        <f t="array" ref="AU37">_xlfn.IFS(AND(AT37&lt;=4,AT37&gt;3.6),"A+",AND(AT37&lt;=3.6,AT37&gt;3.2),"A",AND(AT37&lt;=3.2,AT37&gt;2.8),"B+",AND(AT37&lt;=2.8,AT37&gt;2.4),"B",AND(AT37&lt;=2.4,AT37&gt;2),"C+",AND(AT37&lt;=2,AT37&gt;1.6),"C",AT37=1.6,"D",TRUE,"NG")</f>
        <v>B+</v>
      </c>
      <c r="AV37" s="7">
        <v>21</v>
      </c>
      <c r="AW37" s="7" cm="1">
        <f t="array" ref="AW37">IF(E37="BS",(_xlfn.IFS(AV37/75*100&gt;=90,4,AV37/75*100&gt;=80,3.6,AV37/75*100&gt;=70,3.2,AV37/75*100&gt;=60,2.8,AV37/75*100&gt;=50,2.4,AV37/75*100&gt;=40,2,AV37/75*100&gt;=35,1.6,TRUE, 0)),(_xlfn.IFS(AV37/50*100&gt;=90,4,AV37/50*100&gt;=80,3.6,AV37/50*100&gt;=70,3.2,AV37/50*100&gt;=60,2.8,AV37/50*100&gt;=50,2.4,AV37/50*100&gt;=40,2,AV37/50*100&gt;=35,1.6,TRUE, 0)))</f>
        <v>2</v>
      </c>
      <c r="AX37" s="7" t="str" cm="1">
        <f t="array" ref="AX37">_xlfn.IFS(AW37="-","-",AW37=4,"A+",AW37=3.6,"A",AW37=3.2,"B+",AW37=2.8,"B",AW37=2.4,"C+",AW37=2,"C",AW37=1.6,"D",TRUE,"NG")</f>
        <v>C</v>
      </c>
      <c r="AY37" s="7" cm="1">
        <f t="array" ref="AY37">IF(E37="BS",(_xlfn.IFS(AV37&gt;=70,25,AV37&gt;=60,24,AV37&gt;=50,23,AV37&gt;=40,22,AV37&gt;=30,21,TRUE,20)),(_xlfn.IFS(AV37&gt;=45,48,AV37&gt;=40,46,AV37&gt;=35,44,AV37&gt;=30,40,AV37&gt;=25,38,TRUE,20)))</f>
        <v>20</v>
      </c>
      <c r="AZ37" s="7" cm="1">
        <f t="array" ref="AZ37">IF(E37="BS",(_xlfn.IFS(AY37/25*100&gt;=90,4,AY37/25*100&gt;=80,3.6,AY37/25*100&gt;=70,3.2,AY37/25*100&gt;=60,2.8,AY37/25*100&gt;=50,2.4,AY37/25*100&gt;=40,2,AY37/25*100&gt;=35,1.6,TRUE, 0)),(_xlfn.IFS(AY37/50*100&gt;=90,4,AY37/50*100&gt;=80,3.6,AY37/50*100&gt;=70,3.2,AY37/50*100&gt;=60,2.8,AY37/50*100&gt;=50,2.4,AY37/50*100&gt;=40,2,AY37/50*100&gt;=35,1.6,TRUE, 0)))</f>
        <v>2</v>
      </c>
      <c r="BA37" s="7" t="str" cm="1">
        <f t="array" ref="BA37">_xlfn.IFS(AZ37="-","-",AZ37=4,"A+",AZ37=3.6,"A",AZ37=3.2,"B+",AZ37=2.8,"B",AZ37=2.4,"C+",AZ37=2,"C",AZ37=1.6,"D",TRUE,"NG")</f>
        <v>C</v>
      </c>
      <c r="BB37" s="7">
        <f>IF(E37="BS",(AW37*3.75+AZ37*1.25)/5,(AW37*2.5+AZ37*2.5)/5)</f>
        <v>2</v>
      </c>
      <c r="BC37" s="7" t="str" cm="1">
        <f t="array" ref="BC37">_xlfn.IFS(BB37="-","-",AND(BB37&lt;=4,BB37&gt;3.6),"A+",AND(BB37&lt;=3.6,BB37&gt;3.2),"A",AND(BB37&lt;=3.2,BB37&gt;2.8),"B+",AND(BB37&lt;=2.8,BB37&gt;2.4),"B",AND(BB37&lt;=2.4,BB37&gt;2),"C+",AND(BB37&lt;=2,BB37&gt;1.6),"C",BB37=1.6,"D",TRUE,"NG")</f>
        <v>C</v>
      </c>
      <c r="BD37" s="12">
        <f>IF(E37="BS",(((I37*3+L37*1)+(Q37*2.25+T37*0.75)+(Y37*3.75+AB37*1.25)+(AG37*3.75+AJ37*1.25)+(AO37*3.75+AR37*1.25)+(AW37*3.75+AZ37*1.25))/(4+3+5*4)),(((I37*3+L37*1)+(Q37*2.25+T37*0.75)+(Y37*3.75+AB37*1.25)+(AG37*3.75+AJ37*1.25)+(AO37*3.75+AR37*1.25)+(AW37*2.5+AZ37*2.5))/(4+3+5*4)))</f>
        <v>2.5703703703703704</v>
      </c>
    </row>
    <row r="38" spans="1:56" x14ac:dyDescent="0.25">
      <c r="F38" s="13"/>
      <c r="I38" s="7"/>
      <c r="J38" s="7"/>
      <c r="K38" s="7"/>
      <c r="L38" s="7"/>
      <c r="M38" s="7"/>
      <c r="N38" s="7"/>
      <c r="O38" s="7"/>
      <c r="Q38" s="7"/>
      <c r="R38" s="7"/>
      <c r="S38" s="7"/>
      <c r="T38" s="7"/>
      <c r="U38" s="7"/>
      <c r="V38" s="7"/>
      <c r="W38" s="7"/>
      <c r="Y38" s="7"/>
      <c r="Z38" s="7"/>
      <c r="AA38" s="7"/>
      <c r="AB38" s="7"/>
      <c r="AC38" s="7"/>
      <c r="AD38" s="7"/>
      <c r="AE38" s="7"/>
      <c r="AG38" s="7"/>
      <c r="AH38" s="7"/>
      <c r="AI38" s="7"/>
      <c r="AJ38" s="7"/>
      <c r="AK38" s="7"/>
      <c r="AL38" s="7"/>
      <c r="AM38" s="7"/>
      <c r="AO38" s="7"/>
      <c r="AP38" s="7"/>
      <c r="AQ38" s="7"/>
      <c r="AR38" s="7"/>
      <c r="AS38" s="7"/>
      <c r="AT38" s="7"/>
      <c r="AU38" s="7"/>
      <c r="AW38" s="7"/>
      <c r="AX38" s="7"/>
      <c r="AY38" s="7"/>
      <c r="AZ38" s="7"/>
      <c r="BA38" s="7"/>
      <c r="BB38" s="7"/>
      <c r="BC38" s="7"/>
      <c r="BD38" s="12"/>
    </row>
    <row r="39" spans="1:56" x14ac:dyDescent="0.25">
      <c r="I39" s="7"/>
      <c r="J39" s="7"/>
      <c r="K39" s="7"/>
      <c r="L39" s="7"/>
      <c r="M39" s="7"/>
      <c r="N39" s="7"/>
      <c r="O39" s="7"/>
      <c r="Q39" s="7"/>
      <c r="R39" s="7"/>
      <c r="S39" s="7"/>
      <c r="T39" s="7"/>
      <c r="U39" s="7"/>
      <c r="V39" s="7"/>
      <c r="W39" s="7"/>
      <c r="Y39" s="7"/>
      <c r="Z39" s="7"/>
      <c r="AA39" s="7"/>
      <c r="AB39" s="7"/>
      <c r="AC39" s="7"/>
      <c r="AD39" s="7"/>
      <c r="AE39" s="7"/>
      <c r="AG39" s="7"/>
      <c r="AH39" s="7"/>
      <c r="AI39" s="7"/>
      <c r="AJ39" s="7"/>
      <c r="AK39" s="7"/>
      <c r="AL39" s="7"/>
      <c r="AM39" s="7"/>
      <c r="AO39" s="7"/>
      <c r="AP39" s="7"/>
      <c r="AQ39" s="7"/>
      <c r="AR39" s="7"/>
      <c r="AS39" s="7"/>
      <c r="AT39" s="7"/>
      <c r="AU39" s="7"/>
      <c r="AW39" s="7"/>
      <c r="AX39" s="7"/>
      <c r="AY39" s="7"/>
      <c r="AZ39" s="7"/>
      <c r="BA39" s="7"/>
      <c r="BB39" s="7"/>
      <c r="BC39" s="7"/>
      <c r="BD39" s="12"/>
    </row>
    <row r="40" spans="1:56" x14ac:dyDescent="0.25">
      <c r="I40" s="7"/>
      <c r="J40" s="7"/>
      <c r="K40" s="7"/>
      <c r="L40" s="7"/>
      <c r="M40" s="7"/>
      <c r="N40" s="7"/>
      <c r="O40" s="7"/>
      <c r="Q40" s="7"/>
      <c r="R40" s="7"/>
      <c r="S40" s="7"/>
      <c r="T40" s="7"/>
      <c r="U40" s="7"/>
      <c r="V40" s="7"/>
      <c r="W40" s="7"/>
      <c r="Y40" s="7"/>
      <c r="Z40" s="7"/>
      <c r="AA40" s="7"/>
      <c r="AB40" s="7"/>
      <c r="AC40" s="7"/>
      <c r="AD40" s="7"/>
      <c r="AE40" s="7"/>
      <c r="AG40" s="7"/>
      <c r="AH40" s="7"/>
      <c r="AI40" s="7"/>
      <c r="AJ40" s="7"/>
      <c r="AK40" s="7"/>
      <c r="AL40" s="7"/>
      <c r="AM40" s="7"/>
      <c r="AO40" s="7"/>
      <c r="AP40" s="7"/>
      <c r="AQ40" s="7"/>
      <c r="AR40" s="7"/>
      <c r="AS40" s="7"/>
      <c r="AT40" s="7"/>
      <c r="AU40" s="7"/>
      <c r="AW40" s="7"/>
      <c r="AX40" s="7"/>
      <c r="AY40" s="7"/>
      <c r="AZ40" s="7"/>
      <c r="BA40" s="7"/>
      <c r="BB40" s="7"/>
      <c r="BC40" s="7"/>
      <c r="BD40" s="12"/>
    </row>
    <row r="41" spans="1:56" x14ac:dyDescent="0.25">
      <c r="I41" s="7"/>
      <c r="J41" s="7"/>
      <c r="K41" s="7"/>
      <c r="L41" s="7"/>
      <c r="M41" s="7"/>
      <c r="N41" s="7"/>
      <c r="O41" s="7"/>
      <c r="Q41" s="7"/>
      <c r="R41" s="7"/>
      <c r="S41" s="7"/>
      <c r="T41" s="7"/>
      <c r="U41" s="7"/>
      <c r="V41" s="7"/>
      <c r="W41" s="7"/>
      <c r="Y41" s="7"/>
      <c r="Z41" s="7"/>
      <c r="AA41" s="7"/>
      <c r="AB41" s="7"/>
      <c r="AC41" s="7"/>
      <c r="AD41" s="7"/>
      <c r="AE41" s="7"/>
      <c r="AG41" s="7"/>
      <c r="AH41" s="7"/>
      <c r="AI41" s="7"/>
      <c r="AJ41" s="7"/>
      <c r="AK41" s="7"/>
      <c r="AL41" s="7"/>
      <c r="AM41" s="7"/>
      <c r="AO41" s="7"/>
      <c r="AP41" s="7"/>
      <c r="AQ41" s="7"/>
      <c r="AR41" s="7"/>
      <c r="AS41" s="7"/>
      <c r="AT41" s="7"/>
      <c r="AU41" s="7"/>
      <c r="AW41" s="7"/>
      <c r="AX41" s="7"/>
      <c r="AY41" s="7"/>
      <c r="AZ41" s="7"/>
      <c r="BA41" s="7"/>
      <c r="BB41" s="7"/>
      <c r="BC41" s="7"/>
      <c r="BD41" s="12"/>
    </row>
    <row r="42" spans="1:56" x14ac:dyDescent="0.25">
      <c r="I42" s="7"/>
      <c r="J42" s="7"/>
      <c r="K42" s="7"/>
      <c r="L42" s="7"/>
      <c r="M42" s="7"/>
      <c r="N42" s="7"/>
      <c r="O42" s="7"/>
      <c r="Q42" s="7"/>
      <c r="R42" s="7"/>
      <c r="S42" s="7"/>
      <c r="T42" s="7"/>
      <c r="U42" s="7"/>
      <c r="V42" s="7"/>
      <c r="W42" s="7"/>
      <c r="Y42" s="7"/>
      <c r="Z42" s="7"/>
      <c r="AA42" s="7"/>
      <c r="AB42" s="7"/>
      <c r="AC42" s="7"/>
      <c r="AD42" s="7"/>
      <c r="AE42" s="7"/>
      <c r="AG42" s="7"/>
      <c r="AH42" s="7"/>
      <c r="AI42" s="7"/>
      <c r="AJ42" s="7"/>
      <c r="AK42" s="7"/>
      <c r="AL42" s="7"/>
      <c r="AM42" s="7"/>
      <c r="AO42" s="7"/>
      <c r="AP42" s="7"/>
      <c r="AQ42" s="7"/>
      <c r="AR42" s="7"/>
      <c r="AS42" s="7"/>
      <c r="AT42" s="7"/>
      <c r="AU42" s="7"/>
      <c r="AW42" s="7"/>
      <c r="AX42" s="7"/>
      <c r="AY42" s="7"/>
      <c r="AZ42" s="7"/>
      <c r="BA42" s="7"/>
      <c r="BB42" s="7"/>
      <c r="BC42" s="7"/>
      <c r="BD42" s="12"/>
    </row>
    <row r="43" spans="1:56" x14ac:dyDescent="0.25">
      <c r="I43" s="7"/>
      <c r="J43" s="7"/>
      <c r="K43" s="7"/>
      <c r="L43" s="7"/>
      <c r="M43" s="7"/>
      <c r="N43" s="7"/>
      <c r="O43" s="7"/>
      <c r="Q43" s="7"/>
      <c r="R43" s="7"/>
      <c r="S43" s="7"/>
      <c r="T43" s="7"/>
      <c r="U43" s="7"/>
      <c r="V43" s="7"/>
      <c r="W43" s="7"/>
      <c r="Y43" s="7"/>
      <c r="Z43" s="7"/>
      <c r="AA43" s="7"/>
      <c r="AB43" s="7"/>
      <c r="AC43" s="7"/>
      <c r="AD43" s="7"/>
      <c r="AE43" s="7"/>
      <c r="AG43" s="7"/>
      <c r="AH43" s="7"/>
      <c r="AI43" s="7"/>
      <c r="AJ43" s="7"/>
      <c r="AK43" s="7"/>
      <c r="AL43" s="7"/>
      <c r="AM43" s="7"/>
      <c r="AO43" s="7"/>
      <c r="AP43" s="7"/>
      <c r="AQ43" s="7"/>
      <c r="AR43" s="7"/>
      <c r="AS43" s="7"/>
      <c r="AT43" s="7"/>
      <c r="AU43" s="7"/>
      <c r="AW43" s="7"/>
      <c r="AX43" s="7"/>
      <c r="AY43" s="7"/>
      <c r="AZ43" s="7"/>
      <c r="BA43" s="7"/>
      <c r="BB43" s="7"/>
      <c r="BC43" s="7"/>
      <c r="BD43" s="12"/>
    </row>
    <row r="44" spans="1:56" x14ac:dyDescent="0.25">
      <c r="I44" s="7"/>
      <c r="J44" s="7"/>
      <c r="K44" s="7"/>
      <c r="L44" s="7"/>
      <c r="M44" s="7"/>
      <c r="N44" s="7"/>
      <c r="O44" s="7"/>
      <c r="Q44" s="7"/>
      <c r="R44" s="7"/>
      <c r="S44" s="7"/>
      <c r="T44" s="7"/>
      <c r="U44" s="7"/>
      <c r="V44" s="7"/>
      <c r="W44" s="7"/>
      <c r="Y44" s="7"/>
      <c r="Z44" s="7"/>
      <c r="AA44" s="7"/>
      <c r="AB44" s="7"/>
      <c r="AC44" s="7"/>
      <c r="AD44" s="7"/>
      <c r="AE44" s="7"/>
      <c r="AG44" s="7"/>
      <c r="AH44" s="7"/>
      <c r="AI44" s="7"/>
      <c r="AJ44" s="7"/>
      <c r="AK44" s="7"/>
      <c r="AL44" s="7"/>
      <c r="AM44" s="7"/>
      <c r="AO44" s="7"/>
      <c r="AP44" s="7"/>
      <c r="AQ44" s="7"/>
      <c r="AR44" s="7"/>
      <c r="AS44" s="7"/>
      <c r="AT44" s="7"/>
      <c r="AU44" s="7"/>
      <c r="AW44" s="7"/>
      <c r="AX44" s="7"/>
      <c r="AY44" s="7"/>
      <c r="AZ44" s="7"/>
      <c r="BA44" s="7"/>
      <c r="BB44" s="7"/>
      <c r="BC44" s="7"/>
      <c r="BD44" s="12"/>
    </row>
    <row r="45" spans="1:56" x14ac:dyDescent="0.25">
      <c r="I45" s="7"/>
      <c r="J45" s="7"/>
      <c r="K45" s="7"/>
      <c r="L45" s="7"/>
      <c r="M45" s="7"/>
      <c r="N45" s="7"/>
      <c r="O45" s="7"/>
      <c r="Q45" s="7"/>
      <c r="R45" s="7"/>
      <c r="S45" s="7"/>
      <c r="T45" s="7"/>
      <c r="U45" s="7"/>
      <c r="V45" s="7"/>
      <c r="W45" s="7"/>
      <c r="Y45" s="7"/>
      <c r="Z45" s="7"/>
      <c r="AA45" s="7"/>
      <c r="AB45" s="7"/>
      <c r="AC45" s="7"/>
      <c r="AD45" s="7"/>
      <c r="AE45" s="7"/>
      <c r="AG45" s="7"/>
      <c r="AH45" s="7"/>
      <c r="AI45" s="7"/>
      <c r="AJ45" s="7"/>
      <c r="AK45" s="7"/>
      <c r="AL45" s="7"/>
      <c r="AM45" s="7"/>
      <c r="AO45" s="7"/>
      <c r="AP45" s="7"/>
      <c r="AQ45" s="7"/>
      <c r="AR45" s="7"/>
      <c r="AS45" s="7"/>
      <c r="AT45" s="7"/>
      <c r="AU45" s="7"/>
      <c r="AW45" s="7"/>
      <c r="AX45" s="7"/>
      <c r="AY45" s="7"/>
      <c r="AZ45" s="7"/>
      <c r="BA45" s="7"/>
      <c r="BB45" s="7"/>
      <c r="BC45" s="7"/>
      <c r="BD45" s="12"/>
    </row>
    <row r="46" spans="1:56" x14ac:dyDescent="0.25">
      <c r="F46" s="13"/>
      <c r="I46" s="7"/>
      <c r="J46" s="7"/>
      <c r="K46" s="7"/>
      <c r="L46" s="7"/>
      <c r="M46" s="7"/>
      <c r="N46" s="7"/>
      <c r="O46" s="7"/>
      <c r="Q46" s="7"/>
      <c r="R46" s="7"/>
      <c r="S46" s="7"/>
      <c r="T46" s="7"/>
      <c r="U46" s="7"/>
      <c r="V46" s="7"/>
      <c r="W46" s="7"/>
      <c r="Y46" s="7"/>
      <c r="Z46" s="7"/>
      <c r="AA46" s="7"/>
      <c r="AB46" s="7"/>
      <c r="AC46" s="7"/>
      <c r="AD46" s="7"/>
      <c r="AE46" s="7"/>
      <c r="AG46" s="7"/>
      <c r="AH46" s="7"/>
      <c r="AI46" s="7"/>
      <c r="AJ46" s="7"/>
      <c r="AK46" s="7"/>
      <c r="AL46" s="7"/>
      <c r="AM46" s="7"/>
      <c r="AO46" s="7"/>
      <c r="AP46" s="7"/>
      <c r="AQ46" s="7"/>
      <c r="AR46" s="7"/>
      <c r="AS46" s="7"/>
      <c r="AT46" s="7"/>
      <c r="AU46" s="7"/>
      <c r="AW46" s="7"/>
      <c r="AX46" s="7"/>
      <c r="AY46" s="7"/>
      <c r="AZ46" s="7"/>
      <c r="BA46" s="7"/>
      <c r="BB46" s="7"/>
      <c r="BC46" s="7"/>
      <c r="BD46" s="12"/>
    </row>
    <row r="47" spans="1:56" x14ac:dyDescent="0.25">
      <c r="I47" s="7"/>
      <c r="J47" s="7"/>
      <c r="K47" s="7"/>
      <c r="L47" s="7"/>
      <c r="M47" s="7"/>
      <c r="N47" s="7"/>
      <c r="O47" s="7"/>
      <c r="Q47" s="7"/>
      <c r="R47" s="7"/>
      <c r="S47" s="7"/>
      <c r="T47" s="7"/>
      <c r="U47" s="7"/>
      <c r="V47" s="7"/>
      <c r="W47" s="7"/>
      <c r="Y47" s="7"/>
      <c r="Z47" s="7"/>
      <c r="AA47" s="7"/>
      <c r="AB47" s="7"/>
      <c r="AC47" s="7"/>
      <c r="AD47" s="7"/>
      <c r="AE47" s="7"/>
      <c r="AG47" s="7"/>
      <c r="AH47" s="7"/>
      <c r="AI47" s="7"/>
      <c r="AJ47" s="7"/>
      <c r="AK47" s="7"/>
      <c r="AL47" s="7"/>
      <c r="AM47" s="7"/>
      <c r="AO47" s="7"/>
      <c r="AP47" s="7"/>
      <c r="AQ47" s="7"/>
      <c r="AR47" s="7"/>
      <c r="AS47" s="7"/>
      <c r="AT47" s="7"/>
      <c r="AU47" s="7"/>
      <c r="AW47" s="7"/>
      <c r="AX47" s="7"/>
      <c r="AY47" s="7"/>
      <c r="AZ47" s="7"/>
      <c r="BA47" s="7"/>
      <c r="BB47" s="7"/>
      <c r="BC47" s="7"/>
      <c r="BD47" s="12"/>
    </row>
    <row r="48" spans="1:56" x14ac:dyDescent="0.25">
      <c r="F48" s="13"/>
      <c r="I48" s="7"/>
      <c r="J48" s="7"/>
      <c r="K48" s="7"/>
      <c r="L48" s="7"/>
      <c r="M48" s="7"/>
      <c r="N48" s="7"/>
      <c r="O48" s="7"/>
      <c r="Q48" s="7"/>
      <c r="R48" s="7"/>
      <c r="S48" s="7"/>
      <c r="T48" s="7"/>
      <c r="U48" s="7"/>
      <c r="V48" s="7"/>
      <c r="W48" s="7"/>
      <c r="Y48" s="7"/>
      <c r="Z48" s="7"/>
      <c r="AA48" s="7"/>
      <c r="AB48" s="7"/>
      <c r="AC48" s="7"/>
      <c r="AD48" s="7"/>
      <c r="AE48" s="7"/>
      <c r="AG48" s="7"/>
      <c r="AH48" s="7"/>
      <c r="AI48" s="7"/>
      <c r="AJ48" s="7"/>
      <c r="AK48" s="7"/>
      <c r="AL48" s="7"/>
      <c r="AM48" s="7"/>
      <c r="AO48" s="7"/>
      <c r="AP48" s="7"/>
      <c r="AQ48" s="7"/>
      <c r="AR48" s="7"/>
      <c r="AS48" s="7"/>
      <c r="AT48" s="7"/>
      <c r="AU48" s="7"/>
      <c r="AW48" s="7"/>
      <c r="AX48" s="7"/>
      <c r="AY48" s="7"/>
      <c r="AZ48" s="7"/>
      <c r="BA48" s="7"/>
      <c r="BB48" s="7"/>
      <c r="BC48" s="7"/>
      <c r="BD48" s="12"/>
    </row>
    <row r="49" spans="6:56" x14ac:dyDescent="0.25">
      <c r="I49" s="7"/>
      <c r="J49" s="7"/>
      <c r="K49" s="7"/>
      <c r="L49" s="7"/>
      <c r="M49" s="7"/>
      <c r="N49" s="7"/>
      <c r="O49" s="7"/>
      <c r="Q49" s="7"/>
      <c r="R49" s="7"/>
      <c r="S49" s="7"/>
      <c r="T49" s="7"/>
      <c r="U49" s="7"/>
      <c r="V49" s="7"/>
      <c r="W49" s="7"/>
      <c r="Y49" s="7"/>
      <c r="Z49" s="7"/>
      <c r="AA49" s="7"/>
      <c r="AB49" s="7"/>
      <c r="AC49" s="7"/>
      <c r="AD49" s="7"/>
      <c r="AE49" s="7"/>
      <c r="AG49" s="7"/>
      <c r="AH49" s="7"/>
      <c r="AI49" s="7"/>
      <c r="AJ49" s="7"/>
      <c r="AK49" s="7"/>
      <c r="AL49" s="7"/>
      <c r="AM49" s="7"/>
      <c r="AO49" s="7"/>
      <c r="AP49" s="7"/>
      <c r="AQ49" s="7"/>
      <c r="AR49" s="7"/>
      <c r="AS49" s="7"/>
      <c r="AT49" s="7"/>
      <c r="AU49" s="7"/>
      <c r="AW49" s="7"/>
      <c r="AX49" s="7"/>
      <c r="AY49" s="7"/>
      <c r="AZ49" s="7"/>
      <c r="BA49" s="7"/>
      <c r="BB49" s="7"/>
      <c r="BC49" s="7"/>
      <c r="BD49" s="12"/>
    </row>
    <row r="50" spans="6:56" x14ac:dyDescent="0.25">
      <c r="I50" s="7"/>
      <c r="J50" s="7"/>
      <c r="K50" s="7"/>
      <c r="L50" s="7"/>
      <c r="M50" s="7"/>
      <c r="N50" s="7"/>
      <c r="O50" s="7"/>
      <c r="Q50" s="7"/>
      <c r="R50" s="7"/>
      <c r="S50" s="7"/>
      <c r="T50" s="7"/>
      <c r="U50" s="7"/>
      <c r="V50" s="7"/>
      <c r="W50" s="7"/>
      <c r="Y50" s="7"/>
      <c r="Z50" s="7"/>
      <c r="AA50" s="7"/>
      <c r="AB50" s="7"/>
      <c r="AC50" s="7"/>
      <c r="AD50" s="7"/>
      <c r="AE50" s="7"/>
      <c r="AG50" s="7"/>
      <c r="AH50" s="7"/>
      <c r="AI50" s="7"/>
      <c r="AJ50" s="7"/>
      <c r="AK50" s="7"/>
      <c r="AL50" s="7"/>
      <c r="AM50" s="7"/>
      <c r="AO50" s="7"/>
      <c r="AP50" s="7"/>
      <c r="AQ50" s="7"/>
      <c r="AR50" s="7"/>
      <c r="AS50" s="7"/>
      <c r="AT50" s="7"/>
      <c r="AU50" s="7"/>
      <c r="AW50" s="7"/>
      <c r="AX50" s="7"/>
      <c r="AY50" s="7"/>
      <c r="AZ50" s="7"/>
      <c r="BA50" s="7"/>
      <c r="BB50" s="7"/>
      <c r="BC50" s="7"/>
      <c r="BD50" s="12"/>
    </row>
    <row r="51" spans="6:56" x14ac:dyDescent="0.25">
      <c r="F51" s="13"/>
      <c r="I51" s="7"/>
      <c r="J51" s="7"/>
      <c r="K51" s="7"/>
      <c r="L51" s="7"/>
      <c r="M51" s="7"/>
      <c r="N51" s="7"/>
      <c r="O51" s="7"/>
      <c r="Q51" s="7"/>
      <c r="R51" s="7"/>
      <c r="S51" s="7"/>
      <c r="T51" s="7"/>
      <c r="U51" s="7"/>
      <c r="V51" s="7"/>
      <c r="W51" s="7"/>
      <c r="Y51" s="7"/>
      <c r="Z51" s="7"/>
      <c r="AA51" s="7"/>
      <c r="AB51" s="7"/>
      <c r="AC51" s="7"/>
      <c r="AD51" s="7"/>
      <c r="AE51" s="7"/>
      <c r="AG51" s="7"/>
      <c r="AH51" s="7"/>
      <c r="AI51" s="7"/>
      <c r="AJ51" s="7"/>
      <c r="AK51" s="7"/>
      <c r="AL51" s="7"/>
      <c r="AM51" s="7"/>
      <c r="AO51" s="7"/>
      <c r="AP51" s="7"/>
      <c r="AQ51" s="7"/>
      <c r="AR51" s="7"/>
      <c r="AS51" s="7"/>
      <c r="AT51" s="7"/>
      <c r="AU51" s="7"/>
      <c r="AW51" s="7"/>
      <c r="AX51" s="7"/>
      <c r="AY51" s="7"/>
      <c r="AZ51" s="7"/>
      <c r="BA51" s="7"/>
      <c r="BB51" s="7"/>
      <c r="BC51" s="7"/>
      <c r="BD51" s="12"/>
    </row>
    <row r="52" spans="6:56" x14ac:dyDescent="0.25">
      <c r="I52" s="7"/>
      <c r="J52" s="7"/>
      <c r="K52" s="7"/>
      <c r="L52" s="7"/>
      <c r="M52" s="7"/>
      <c r="N52" s="7"/>
      <c r="O52" s="7"/>
      <c r="Q52" s="7"/>
      <c r="R52" s="7"/>
      <c r="S52" s="7"/>
      <c r="T52" s="7"/>
      <c r="U52" s="7"/>
      <c r="V52" s="7"/>
      <c r="W52" s="7"/>
      <c r="Y52" s="7"/>
      <c r="Z52" s="7"/>
      <c r="AA52" s="7"/>
      <c r="AB52" s="7"/>
      <c r="AC52" s="7"/>
      <c r="AD52" s="7"/>
      <c r="AE52" s="7"/>
      <c r="AG52" s="7"/>
      <c r="AH52" s="7"/>
      <c r="AI52" s="7"/>
      <c r="AJ52" s="7"/>
      <c r="AK52" s="7"/>
      <c r="AL52" s="7"/>
      <c r="AM52" s="7"/>
      <c r="AO52" s="7"/>
      <c r="AP52" s="7"/>
      <c r="AQ52" s="7"/>
      <c r="AR52" s="7"/>
      <c r="AS52" s="7"/>
      <c r="AT52" s="7"/>
      <c r="AU52" s="7"/>
      <c r="AW52" s="7"/>
      <c r="AX52" s="7"/>
      <c r="AY52" s="7"/>
      <c r="AZ52" s="7"/>
      <c r="BA52" s="7"/>
      <c r="BB52" s="7"/>
      <c r="BC52" s="7"/>
      <c r="BD52" s="12"/>
    </row>
    <row r="53" spans="6:56" x14ac:dyDescent="0.25">
      <c r="I53" s="7"/>
      <c r="J53" s="7"/>
      <c r="K53" s="7"/>
      <c r="L53" s="7"/>
      <c r="M53" s="7"/>
      <c r="N53" s="7"/>
      <c r="O53" s="7"/>
      <c r="Q53" s="7"/>
      <c r="R53" s="7"/>
      <c r="S53" s="7"/>
      <c r="T53" s="7"/>
      <c r="U53" s="7"/>
      <c r="V53" s="7"/>
      <c r="W53" s="7"/>
      <c r="Y53" s="7"/>
      <c r="Z53" s="7"/>
      <c r="AA53" s="7"/>
      <c r="AB53" s="7"/>
      <c r="AC53" s="7"/>
      <c r="AD53" s="7"/>
      <c r="AE53" s="7"/>
      <c r="AG53" s="7"/>
      <c r="AH53" s="7"/>
      <c r="AI53" s="7"/>
      <c r="AJ53" s="7"/>
      <c r="AK53" s="7"/>
      <c r="AL53" s="7"/>
      <c r="AM53" s="7"/>
      <c r="AO53" s="7"/>
      <c r="AP53" s="7"/>
      <c r="AQ53" s="7"/>
      <c r="AR53" s="7"/>
      <c r="AS53" s="7"/>
      <c r="AT53" s="7"/>
      <c r="AU53" s="7"/>
      <c r="AW53" s="7"/>
      <c r="AX53" s="7"/>
      <c r="AY53" s="7"/>
      <c r="AZ53" s="7"/>
      <c r="BA53" s="7"/>
      <c r="BB53" s="7"/>
      <c r="BC53" s="7"/>
      <c r="BD53" s="12"/>
    </row>
    <row r="54" spans="6:56" x14ac:dyDescent="0.25">
      <c r="I54" s="7"/>
      <c r="J54" s="7"/>
      <c r="K54" s="7"/>
      <c r="L54" s="7"/>
      <c r="M54" s="7"/>
      <c r="N54" s="7"/>
      <c r="O54" s="7"/>
      <c r="Q54" s="7"/>
      <c r="R54" s="7"/>
      <c r="S54" s="7"/>
      <c r="T54" s="7"/>
      <c r="U54" s="7"/>
      <c r="V54" s="7"/>
      <c r="W54" s="7"/>
      <c r="Y54" s="7"/>
      <c r="Z54" s="7"/>
      <c r="AA54" s="7"/>
      <c r="AB54" s="7"/>
      <c r="AC54" s="7"/>
      <c r="AD54" s="7"/>
      <c r="AE54" s="7"/>
      <c r="AG54" s="7"/>
      <c r="AH54" s="7"/>
      <c r="AI54" s="7"/>
      <c r="AJ54" s="7"/>
      <c r="AK54" s="7"/>
      <c r="AL54" s="7"/>
      <c r="AM54" s="7"/>
      <c r="AO54" s="7"/>
      <c r="AP54" s="7"/>
      <c r="AQ54" s="7"/>
      <c r="AR54" s="7"/>
      <c r="AS54" s="7"/>
      <c r="AT54" s="7"/>
      <c r="AU54" s="7"/>
      <c r="AW54" s="7"/>
      <c r="AX54" s="7"/>
      <c r="AY54" s="7"/>
      <c r="AZ54" s="7"/>
      <c r="BA54" s="7"/>
      <c r="BB54" s="7"/>
      <c r="BC54" s="7"/>
      <c r="BD54" s="12"/>
    </row>
    <row r="55" spans="6:56" x14ac:dyDescent="0.25">
      <c r="I55" s="7"/>
      <c r="J55" s="7"/>
      <c r="K55" s="7"/>
      <c r="L55" s="7"/>
      <c r="M55" s="7"/>
      <c r="N55" s="7"/>
      <c r="O55" s="7"/>
      <c r="Q55" s="7"/>
      <c r="R55" s="7"/>
      <c r="S55" s="7"/>
      <c r="T55" s="7"/>
      <c r="U55" s="7"/>
      <c r="V55" s="7"/>
      <c r="W55" s="7"/>
      <c r="Y55" s="7"/>
      <c r="Z55" s="7"/>
      <c r="AA55" s="7"/>
      <c r="AB55" s="7"/>
      <c r="AC55" s="7"/>
      <c r="AD55" s="7"/>
      <c r="AE55" s="7"/>
      <c r="AG55" s="7"/>
      <c r="AH55" s="7"/>
      <c r="AI55" s="7"/>
      <c r="AJ55" s="7"/>
      <c r="AK55" s="7"/>
      <c r="AL55" s="7"/>
      <c r="AM55" s="7"/>
      <c r="AO55" s="7"/>
      <c r="AP55" s="7"/>
      <c r="AQ55" s="7"/>
      <c r="AR55" s="7"/>
      <c r="AS55" s="7"/>
      <c r="AT55" s="7"/>
      <c r="AU55" s="7"/>
      <c r="AW55" s="7"/>
      <c r="AX55" s="7"/>
      <c r="AY55" s="7"/>
      <c r="AZ55" s="7"/>
      <c r="BA55" s="7"/>
      <c r="BB55" s="7"/>
      <c r="BC55" s="7"/>
      <c r="BD55" s="12"/>
    </row>
    <row r="56" spans="6:56" x14ac:dyDescent="0.25">
      <c r="I56" s="7"/>
      <c r="J56" s="7"/>
      <c r="K56" s="7"/>
      <c r="L56" s="7"/>
      <c r="M56" s="7"/>
      <c r="N56" s="7"/>
      <c r="O56" s="7"/>
      <c r="Q56" s="7"/>
      <c r="R56" s="7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  <c r="AE56" s="7"/>
      <c r="AG56" s="7"/>
      <c r="AH56" s="7"/>
      <c r="AI56" s="7"/>
      <c r="AJ56" s="7"/>
      <c r="AK56" s="7"/>
      <c r="AL56" s="7"/>
      <c r="AM56" s="7"/>
      <c r="AO56" s="7"/>
      <c r="AP56" s="7"/>
      <c r="AQ56" s="7"/>
      <c r="AR56" s="7"/>
      <c r="AS56" s="7"/>
      <c r="AT56" s="7"/>
      <c r="AU56" s="7"/>
      <c r="AW56" s="7"/>
      <c r="AX56" s="7"/>
      <c r="AY56" s="7"/>
      <c r="AZ56" s="7"/>
      <c r="BA56" s="7"/>
      <c r="BB56" s="7"/>
      <c r="BC56" s="7"/>
      <c r="BD56" s="12"/>
    </row>
    <row r="57" spans="6:56" x14ac:dyDescent="0.25">
      <c r="F57" s="13"/>
      <c r="I57" s="7"/>
      <c r="J57" s="7"/>
      <c r="K57" s="7"/>
      <c r="L57" s="7"/>
      <c r="M57" s="7"/>
      <c r="N57" s="7"/>
      <c r="O57" s="7"/>
      <c r="Q57" s="7"/>
      <c r="R57" s="7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  <c r="AG57" s="7"/>
      <c r="AH57" s="7"/>
      <c r="AI57" s="7"/>
      <c r="AJ57" s="7"/>
      <c r="AK57" s="7"/>
      <c r="AL57" s="7"/>
      <c r="AM57" s="7"/>
      <c r="AO57" s="7"/>
      <c r="AP57" s="7"/>
      <c r="AQ57" s="7"/>
      <c r="AR57" s="7"/>
      <c r="AS57" s="7"/>
      <c r="AT57" s="7"/>
      <c r="AU57" s="7"/>
      <c r="AW57" s="7"/>
      <c r="AX57" s="7"/>
      <c r="AY57" s="7"/>
      <c r="AZ57" s="7"/>
      <c r="BA57" s="7"/>
      <c r="BB57" s="7"/>
      <c r="BC57" s="7"/>
      <c r="BD57" s="12"/>
    </row>
    <row r="58" spans="6:56" x14ac:dyDescent="0.25">
      <c r="I58" s="7"/>
      <c r="J58" s="7"/>
      <c r="K58" s="7"/>
      <c r="L58" s="7"/>
      <c r="M58" s="7"/>
      <c r="N58" s="7"/>
      <c r="O58" s="7"/>
      <c r="Q58" s="7"/>
      <c r="R58" s="7"/>
      <c r="S58" s="7"/>
      <c r="T58" s="7"/>
      <c r="U58" s="7"/>
      <c r="V58" s="7"/>
      <c r="W58" s="7"/>
      <c r="Y58" s="7"/>
      <c r="Z58" s="7"/>
      <c r="AA58" s="7"/>
      <c r="AB58" s="7"/>
      <c r="AC58" s="7"/>
      <c r="AD58" s="7"/>
      <c r="AE58" s="7"/>
      <c r="AG58" s="7"/>
      <c r="AH58" s="7"/>
      <c r="AI58" s="7"/>
      <c r="AJ58" s="7"/>
      <c r="AK58" s="7"/>
      <c r="AL58" s="7"/>
      <c r="AM58" s="7"/>
      <c r="AO58" s="7"/>
      <c r="AP58" s="7"/>
      <c r="AQ58" s="7"/>
      <c r="AR58" s="7"/>
      <c r="AS58" s="7"/>
      <c r="AT58" s="7"/>
      <c r="AU58" s="7"/>
      <c r="AW58" s="7"/>
      <c r="AX58" s="7"/>
      <c r="AY58" s="7"/>
      <c r="AZ58" s="7"/>
      <c r="BA58" s="7"/>
      <c r="BB58" s="7"/>
      <c r="BC58" s="7"/>
      <c r="BD58" s="12"/>
    </row>
    <row r="59" spans="6:56" x14ac:dyDescent="0.25">
      <c r="I59" s="7"/>
      <c r="J59" s="7"/>
      <c r="K59" s="7"/>
      <c r="L59" s="7"/>
      <c r="M59" s="7"/>
      <c r="N59" s="7"/>
      <c r="O59" s="7"/>
      <c r="Q59" s="7"/>
      <c r="R59" s="7"/>
      <c r="S59" s="7"/>
      <c r="T59" s="7"/>
      <c r="U59" s="7"/>
      <c r="V59" s="7"/>
      <c r="W59" s="7"/>
      <c r="Y59" s="7"/>
      <c r="Z59" s="7"/>
      <c r="AA59" s="7"/>
      <c r="AB59" s="7"/>
      <c r="AC59" s="7"/>
      <c r="AD59" s="7"/>
      <c r="AE59" s="7"/>
      <c r="AG59" s="7"/>
      <c r="AH59" s="7"/>
      <c r="AI59" s="7"/>
      <c r="AJ59" s="7"/>
      <c r="AK59" s="7"/>
      <c r="AL59" s="7"/>
      <c r="AM59" s="7"/>
      <c r="AO59" s="7"/>
      <c r="AP59" s="7"/>
      <c r="AQ59" s="7"/>
      <c r="AR59" s="7"/>
      <c r="AS59" s="7"/>
      <c r="AT59" s="7"/>
      <c r="AU59" s="7"/>
      <c r="AW59" s="7"/>
      <c r="AX59" s="7"/>
      <c r="AY59" s="7"/>
      <c r="AZ59" s="7"/>
      <c r="BA59" s="7"/>
      <c r="BB59" s="7"/>
      <c r="BC59" s="7"/>
      <c r="BD59" s="12"/>
    </row>
    <row r="60" spans="6:56" x14ac:dyDescent="0.25">
      <c r="I60" s="7"/>
      <c r="J60" s="7"/>
      <c r="K60" s="7"/>
      <c r="L60" s="7"/>
      <c r="M60" s="7"/>
      <c r="N60" s="7"/>
      <c r="O60" s="7"/>
      <c r="Q60" s="7"/>
      <c r="R60" s="7"/>
      <c r="S60" s="7"/>
      <c r="T60" s="7"/>
      <c r="U60" s="7"/>
      <c r="V60" s="7"/>
      <c r="W60" s="7"/>
      <c r="Y60" s="7"/>
      <c r="Z60" s="7"/>
      <c r="AA60" s="7"/>
      <c r="AB60" s="7"/>
      <c r="AC60" s="7"/>
      <c r="AD60" s="7"/>
      <c r="AE60" s="7"/>
      <c r="AG60" s="7"/>
      <c r="AH60" s="7"/>
      <c r="AI60" s="7"/>
      <c r="AJ60" s="7"/>
      <c r="AK60" s="7"/>
      <c r="AL60" s="7"/>
      <c r="AM60" s="7"/>
      <c r="AO60" s="7"/>
      <c r="AP60" s="7"/>
      <c r="AQ60" s="7"/>
      <c r="AR60" s="7"/>
      <c r="AS60" s="7"/>
      <c r="AT60" s="7"/>
      <c r="AU60" s="7"/>
      <c r="AW60" s="7"/>
      <c r="AX60" s="7"/>
      <c r="AY60" s="7"/>
      <c r="AZ60" s="7"/>
      <c r="BA60" s="7"/>
      <c r="BB60" s="7"/>
      <c r="BC60" s="7"/>
      <c r="BD60" s="12"/>
    </row>
    <row r="61" spans="6:56" x14ac:dyDescent="0.25">
      <c r="I61" s="7"/>
      <c r="J61" s="7"/>
      <c r="K61" s="7"/>
      <c r="L61" s="7"/>
      <c r="M61" s="7"/>
      <c r="N61" s="7"/>
      <c r="O61" s="7"/>
      <c r="Q61" s="7"/>
      <c r="R61" s="7"/>
      <c r="S61" s="7"/>
      <c r="T61" s="7"/>
      <c r="U61" s="7"/>
      <c r="V61" s="7"/>
      <c r="W61" s="7"/>
      <c r="Y61" s="7"/>
      <c r="Z61" s="7"/>
      <c r="AA61" s="7"/>
      <c r="AB61" s="7"/>
      <c r="AC61" s="7"/>
      <c r="AD61" s="7"/>
      <c r="AE61" s="7"/>
      <c r="AG61" s="7"/>
      <c r="AH61" s="7"/>
      <c r="AI61" s="7"/>
      <c r="AJ61" s="7"/>
      <c r="AK61" s="7"/>
      <c r="AL61" s="7"/>
      <c r="AM61" s="7"/>
      <c r="AO61" s="7"/>
      <c r="AP61" s="7"/>
      <c r="AQ61" s="7"/>
      <c r="AR61" s="7"/>
      <c r="AS61" s="7"/>
      <c r="AT61" s="7"/>
      <c r="AU61" s="7"/>
      <c r="AW61" s="7"/>
      <c r="AX61" s="7"/>
      <c r="AY61" s="7"/>
      <c r="AZ61" s="7"/>
      <c r="BA61" s="7"/>
      <c r="BB61" s="7"/>
      <c r="BC61" s="7"/>
      <c r="BD61" s="12"/>
    </row>
    <row r="62" spans="6:56" x14ac:dyDescent="0.25">
      <c r="F62" s="13"/>
      <c r="I62" s="7"/>
      <c r="J62" s="7"/>
      <c r="K62" s="7"/>
      <c r="L62" s="7"/>
      <c r="M62" s="7"/>
      <c r="N62" s="7"/>
      <c r="O62" s="7"/>
      <c r="Q62" s="7"/>
      <c r="R62" s="7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  <c r="AG62" s="7"/>
      <c r="AH62" s="7"/>
      <c r="AI62" s="7"/>
      <c r="AJ62" s="7"/>
      <c r="AK62" s="7"/>
      <c r="AL62" s="7"/>
      <c r="AM62" s="7"/>
      <c r="AO62" s="7"/>
      <c r="AP62" s="7"/>
      <c r="AQ62" s="7"/>
      <c r="AR62" s="7"/>
      <c r="AS62" s="7"/>
      <c r="AT62" s="7"/>
      <c r="AU62" s="7"/>
      <c r="AW62" s="7"/>
      <c r="AX62" s="7"/>
      <c r="AY62" s="7"/>
      <c r="AZ62" s="7"/>
      <c r="BA62" s="7"/>
      <c r="BB62" s="7"/>
      <c r="BC62" s="7"/>
      <c r="BD62" s="12"/>
    </row>
    <row r="63" spans="6:56" x14ac:dyDescent="0.25">
      <c r="F63" s="13"/>
      <c r="I63" s="7"/>
      <c r="J63" s="7"/>
      <c r="K63" s="7"/>
      <c r="L63" s="7"/>
      <c r="M63" s="7"/>
      <c r="N63" s="7"/>
      <c r="O63" s="7"/>
      <c r="Q63" s="7"/>
      <c r="R63" s="7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  <c r="AG63" s="7"/>
      <c r="AH63" s="7"/>
      <c r="AI63" s="7"/>
      <c r="AJ63" s="7"/>
      <c r="AK63" s="7"/>
      <c r="AL63" s="7"/>
      <c r="AM63" s="7"/>
      <c r="AO63" s="7"/>
      <c r="AP63" s="7"/>
      <c r="AQ63" s="7"/>
      <c r="AR63" s="7"/>
      <c r="AS63" s="7"/>
      <c r="AT63" s="7"/>
      <c r="AU63" s="7"/>
      <c r="AW63" s="7"/>
      <c r="AX63" s="7"/>
      <c r="AY63" s="7"/>
      <c r="AZ63" s="7"/>
      <c r="BA63" s="7"/>
      <c r="BB63" s="7"/>
      <c r="BC63" s="7"/>
      <c r="BD63" s="12"/>
    </row>
    <row r="64" spans="6:56" x14ac:dyDescent="0.25">
      <c r="I64" s="7"/>
      <c r="J64" s="7"/>
      <c r="K64" s="7"/>
      <c r="L64" s="7"/>
      <c r="M64" s="7"/>
      <c r="N64" s="7"/>
      <c r="O64" s="7"/>
      <c r="Q64" s="7"/>
      <c r="R64" s="7"/>
      <c r="S64" s="7"/>
      <c r="T64" s="7"/>
      <c r="U64" s="7"/>
      <c r="V64" s="7"/>
      <c r="W64" s="7"/>
      <c r="Y64" s="7"/>
      <c r="Z64" s="7"/>
      <c r="AA64" s="7"/>
      <c r="AB64" s="7"/>
      <c r="AC64" s="7"/>
      <c r="AD64" s="7"/>
      <c r="AE64" s="7"/>
      <c r="AG64" s="7"/>
      <c r="AH64" s="7"/>
      <c r="AI64" s="7"/>
      <c r="AJ64" s="7"/>
      <c r="AK64" s="7"/>
      <c r="AL64" s="7"/>
      <c r="AM64" s="7"/>
      <c r="AO64" s="7"/>
      <c r="AP64" s="7"/>
      <c r="AQ64" s="7"/>
      <c r="AR64" s="7"/>
      <c r="AS64" s="7"/>
      <c r="AT64" s="7"/>
      <c r="AU64" s="7"/>
      <c r="AW64" s="7"/>
      <c r="AX64" s="7"/>
      <c r="AY64" s="7"/>
      <c r="AZ64" s="7"/>
      <c r="BA64" s="7"/>
      <c r="BB64" s="7"/>
      <c r="BC64" s="7"/>
      <c r="BD64" s="12"/>
    </row>
    <row r="65" spans="6:56" x14ac:dyDescent="0.25">
      <c r="F65" s="13"/>
      <c r="I65" s="7"/>
      <c r="J65" s="7"/>
      <c r="K65" s="7"/>
      <c r="L65" s="7"/>
      <c r="M65" s="7"/>
      <c r="N65" s="7"/>
      <c r="O65" s="7"/>
      <c r="Q65" s="7"/>
      <c r="R65" s="7"/>
      <c r="S65" s="7"/>
      <c r="T65" s="7"/>
      <c r="U65" s="7"/>
      <c r="V65" s="7"/>
      <c r="W65" s="7"/>
      <c r="Y65" s="7"/>
      <c r="Z65" s="7"/>
      <c r="AA65" s="7"/>
      <c r="AB65" s="7"/>
      <c r="AC65" s="7"/>
      <c r="AD65" s="7"/>
      <c r="AE65" s="7"/>
      <c r="AG65" s="7"/>
      <c r="AH65" s="7"/>
      <c r="AI65" s="7"/>
      <c r="AJ65" s="7"/>
      <c r="AK65" s="7"/>
      <c r="AL65" s="7"/>
      <c r="AM65" s="7"/>
      <c r="AO65" s="7"/>
      <c r="AP65" s="7"/>
      <c r="AQ65" s="7"/>
      <c r="AR65" s="7"/>
      <c r="AS65" s="7"/>
      <c r="AT65" s="7"/>
      <c r="AU65" s="7"/>
      <c r="AW65" s="7"/>
      <c r="AX65" s="7"/>
      <c r="AY65" s="7"/>
      <c r="AZ65" s="7"/>
      <c r="BA65" s="7"/>
      <c r="BB65" s="7"/>
      <c r="BC65" s="7"/>
      <c r="BD65" s="12"/>
    </row>
    <row r="66" spans="6:56" x14ac:dyDescent="0.25">
      <c r="I66" s="7"/>
      <c r="J66" s="7"/>
      <c r="K66" s="7"/>
      <c r="L66" s="7"/>
      <c r="M66" s="7"/>
      <c r="N66" s="7"/>
      <c r="O66" s="7"/>
      <c r="Q66" s="7"/>
      <c r="R66" s="7"/>
      <c r="S66" s="7"/>
      <c r="T66" s="7"/>
      <c r="U66" s="7"/>
      <c r="V66" s="7"/>
      <c r="W66" s="7"/>
      <c r="Y66" s="7"/>
      <c r="Z66" s="7"/>
      <c r="AA66" s="7"/>
      <c r="AB66" s="7"/>
      <c r="AC66" s="7"/>
      <c r="AD66" s="7"/>
      <c r="AE66" s="7"/>
      <c r="AG66" s="7"/>
      <c r="AH66" s="7"/>
      <c r="AI66" s="7"/>
      <c r="AJ66" s="7"/>
      <c r="AK66" s="7"/>
      <c r="AL66" s="7"/>
      <c r="AM66" s="7"/>
      <c r="AO66" s="7"/>
      <c r="AP66" s="7"/>
      <c r="AQ66" s="7"/>
      <c r="AR66" s="7"/>
      <c r="AS66" s="7"/>
      <c r="AT66" s="7"/>
      <c r="AU66" s="7"/>
      <c r="AW66" s="7"/>
      <c r="AX66" s="7"/>
      <c r="AY66" s="7"/>
      <c r="AZ66" s="7"/>
      <c r="BA66" s="7"/>
      <c r="BB66" s="7"/>
      <c r="BC66" s="7"/>
      <c r="BD66" s="12"/>
    </row>
    <row r="67" spans="6:56" x14ac:dyDescent="0.25">
      <c r="I67" s="7"/>
      <c r="J67" s="7"/>
      <c r="K67" s="7"/>
      <c r="L67" s="7"/>
      <c r="M67" s="7"/>
      <c r="N67" s="7"/>
      <c r="O67" s="7"/>
      <c r="Q67" s="7"/>
      <c r="R67" s="7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  <c r="AG67" s="7"/>
      <c r="AH67" s="7"/>
      <c r="AI67" s="7"/>
      <c r="AJ67" s="7"/>
      <c r="AK67" s="7"/>
      <c r="AL67" s="7"/>
      <c r="AM67" s="7"/>
      <c r="AO67" s="7"/>
      <c r="AP67" s="7"/>
      <c r="AQ67" s="7"/>
      <c r="AR67" s="7"/>
      <c r="AS67" s="7"/>
      <c r="AT67" s="7"/>
      <c r="AU67" s="7"/>
      <c r="AW67" s="7"/>
      <c r="AX67" s="7"/>
      <c r="AY67" s="7"/>
      <c r="AZ67" s="7"/>
      <c r="BA67" s="7"/>
      <c r="BB67" s="7"/>
      <c r="BC67" s="7"/>
      <c r="BD67" s="12"/>
    </row>
    <row r="68" spans="6:56" x14ac:dyDescent="0.25">
      <c r="I68" s="7"/>
      <c r="J68" s="7"/>
      <c r="K68" s="7"/>
      <c r="L68" s="7"/>
      <c r="M68" s="7"/>
      <c r="N68" s="7"/>
      <c r="O68" s="7"/>
      <c r="Q68" s="7"/>
      <c r="R68" s="7"/>
      <c r="S68" s="7"/>
      <c r="T68" s="7"/>
      <c r="U68" s="7"/>
      <c r="V68" s="7"/>
      <c r="W68" s="7"/>
      <c r="Y68" s="7"/>
      <c r="Z68" s="7"/>
      <c r="AA68" s="7"/>
      <c r="AB68" s="7"/>
      <c r="AC68" s="7"/>
      <c r="AD68" s="7"/>
      <c r="AE68" s="7"/>
      <c r="AG68" s="7"/>
      <c r="AH68" s="7"/>
      <c r="AI68" s="7"/>
      <c r="AJ68" s="7"/>
      <c r="AK68" s="7"/>
      <c r="AL68" s="7"/>
      <c r="AM68" s="7"/>
      <c r="AO68" s="7"/>
      <c r="AP68" s="7"/>
      <c r="AQ68" s="7"/>
      <c r="AR68" s="7"/>
      <c r="AS68" s="7"/>
      <c r="AT68" s="7"/>
      <c r="AU68" s="7"/>
      <c r="AW68" s="7"/>
      <c r="AX68" s="7"/>
      <c r="AY68" s="7"/>
      <c r="AZ68" s="7"/>
      <c r="BA68" s="7"/>
      <c r="BB68" s="7"/>
      <c r="BC68" s="7"/>
      <c r="BD68" s="12"/>
    </row>
    <row r="69" spans="6:56" x14ac:dyDescent="0.25">
      <c r="F69" s="13"/>
      <c r="I69" s="7"/>
      <c r="J69" s="7"/>
      <c r="K69" s="7"/>
      <c r="L69" s="7"/>
      <c r="M69" s="7"/>
      <c r="N69" s="7"/>
      <c r="O69" s="7"/>
      <c r="Q69" s="7"/>
      <c r="R69" s="7"/>
      <c r="S69" s="7"/>
      <c r="T69" s="7"/>
      <c r="U69" s="7"/>
      <c r="V69" s="7"/>
      <c r="W69" s="7"/>
      <c r="Y69" s="7"/>
      <c r="Z69" s="7"/>
      <c r="AA69" s="7"/>
      <c r="AB69" s="7"/>
      <c r="AC69" s="7"/>
      <c r="AD69" s="7"/>
      <c r="AE69" s="7"/>
      <c r="AG69" s="7"/>
      <c r="AH69" s="7"/>
      <c r="AI69" s="7"/>
      <c r="AJ69" s="7"/>
      <c r="AK69" s="7"/>
      <c r="AL69" s="7"/>
      <c r="AM69" s="7"/>
      <c r="AO69" s="7"/>
      <c r="AP69" s="7"/>
      <c r="AQ69" s="7"/>
      <c r="AR69" s="7"/>
      <c r="AS69" s="7"/>
      <c r="AT69" s="7"/>
      <c r="AU69" s="7"/>
      <c r="AW69" s="7"/>
      <c r="AX69" s="7"/>
      <c r="AY69" s="7"/>
      <c r="AZ69" s="7"/>
      <c r="BA69" s="7"/>
      <c r="BB69" s="7"/>
      <c r="BC69" s="7"/>
      <c r="BD69" s="12"/>
    </row>
    <row r="70" spans="6:56" x14ac:dyDescent="0.25">
      <c r="F70" s="13"/>
      <c r="I70" s="7"/>
      <c r="J70" s="7"/>
      <c r="K70" s="7"/>
      <c r="L70" s="7"/>
      <c r="M70" s="7"/>
      <c r="N70" s="7"/>
      <c r="O70" s="7"/>
      <c r="Q70" s="7"/>
      <c r="R70" s="7"/>
      <c r="S70" s="7"/>
      <c r="T70" s="7"/>
      <c r="U70" s="7"/>
      <c r="V70" s="7"/>
      <c r="W70" s="7"/>
      <c r="Y70" s="7"/>
      <c r="Z70" s="7"/>
      <c r="AA70" s="7"/>
      <c r="AB70" s="7"/>
      <c r="AC70" s="7"/>
      <c r="AD70" s="7"/>
      <c r="AE70" s="7"/>
      <c r="AG70" s="7"/>
      <c r="AH70" s="7"/>
      <c r="AI70" s="7"/>
      <c r="AJ70" s="7"/>
      <c r="AK70" s="7"/>
      <c r="AL70" s="7"/>
      <c r="AM70" s="7"/>
      <c r="AO70" s="7"/>
      <c r="AP70" s="7"/>
      <c r="AQ70" s="7"/>
      <c r="AR70" s="7"/>
      <c r="AS70" s="7"/>
      <c r="AT70" s="7"/>
      <c r="AU70" s="7"/>
      <c r="AW70" s="7"/>
      <c r="AX70" s="7"/>
      <c r="AY70" s="7"/>
      <c r="AZ70" s="7"/>
      <c r="BA70" s="7"/>
      <c r="BB70" s="7"/>
      <c r="BC70" s="7"/>
      <c r="BD70" s="12"/>
    </row>
    <row r="71" spans="6:56" x14ac:dyDescent="0.25">
      <c r="I71" s="7"/>
      <c r="J71" s="7"/>
      <c r="K71" s="7"/>
      <c r="L71" s="7"/>
      <c r="M71" s="7"/>
      <c r="N71" s="7"/>
      <c r="O71" s="7"/>
      <c r="Q71" s="7"/>
      <c r="R71" s="7"/>
      <c r="S71" s="7"/>
      <c r="T71" s="7"/>
      <c r="U71" s="7"/>
      <c r="V71" s="7"/>
      <c r="W71" s="7"/>
      <c r="Y71" s="7"/>
      <c r="Z71" s="7"/>
      <c r="AA71" s="7"/>
      <c r="AB71" s="7"/>
      <c r="AC71" s="7"/>
      <c r="AD71" s="7"/>
      <c r="AE71" s="7"/>
      <c r="AG71" s="7"/>
      <c r="AH71" s="7"/>
      <c r="AI71" s="7"/>
      <c r="AJ71" s="7"/>
      <c r="AK71" s="7"/>
      <c r="AL71" s="7"/>
      <c r="AM71" s="7"/>
      <c r="AO71" s="7"/>
      <c r="AP71" s="7"/>
      <c r="AQ71" s="7"/>
      <c r="AR71" s="7"/>
      <c r="AS71" s="7"/>
      <c r="AT71" s="7"/>
      <c r="AU71" s="7"/>
      <c r="AW71" s="7"/>
      <c r="AX71" s="7"/>
      <c r="AY71" s="7"/>
      <c r="AZ71" s="7"/>
      <c r="BA71" s="7"/>
      <c r="BB71" s="7"/>
      <c r="BC71" s="7"/>
      <c r="BD71" s="12"/>
    </row>
    <row r="72" spans="6:56" x14ac:dyDescent="0.25">
      <c r="I72" s="7"/>
      <c r="J72" s="7"/>
      <c r="K72" s="7"/>
      <c r="L72" s="7"/>
      <c r="M72" s="7"/>
      <c r="N72" s="7"/>
      <c r="O72" s="7"/>
      <c r="Q72" s="7"/>
      <c r="R72" s="7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  <c r="AG72" s="7"/>
      <c r="AH72" s="7"/>
      <c r="AI72" s="7"/>
      <c r="AJ72" s="7"/>
      <c r="AK72" s="7"/>
      <c r="AL72" s="7"/>
      <c r="AM72" s="7"/>
      <c r="AO72" s="7"/>
      <c r="AP72" s="7"/>
      <c r="AQ72" s="7"/>
      <c r="AR72" s="7"/>
      <c r="AS72" s="7"/>
      <c r="AT72" s="7"/>
      <c r="AU72" s="7"/>
      <c r="AW72" s="7"/>
      <c r="AX72" s="7"/>
      <c r="AY72" s="7"/>
      <c r="AZ72" s="7"/>
      <c r="BA72" s="7"/>
      <c r="BB72" s="7"/>
      <c r="BC72" s="7"/>
      <c r="BD72" s="12"/>
    </row>
    <row r="73" spans="6:56" x14ac:dyDescent="0.25">
      <c r="I73" s="7"/>
      <c r="J73" s="7"/>
      <c r="K73" s="7"/>
      <c r="L73" s="7"/>
      <c r="M73" s="7"/>
      <c r="N73" s="7"/>
      <c r="O73" s="7"/>
      <c r="Q73" s="7"/>
      <c r="R73" s="7"/>
      <c r="S73" s="7"/>
      <c r="T73" s="7"/>
      <c r="U73" s="7"/>
      <c r="V73" s="7"/>
      <c r="W73" s="7"/>
      <c r="Y73" s="7"/>
      <c r="Z73" s="7"/>
      <c r="AA73" s="7"/>
      <c r="AB73" s="7"/>
      <c r="AC73" s="7"/>
      <c r="AD73" s="7"/>
      <c r="AE73" s="7"/>
      <c r="AG73" s="7"/>
      <c r="AH73" s="7"/>
      <c r="AI73" s="7"/>
      <c r="AJ73" s="7"/>
      <c r="AK73" s="7"/>
      <c r="AL73" s="7"/>
      <c r="AM73" s="7"/>
      <c r="AO73" s="7"/>
      <c r="AP73" s="7"/>
      <c r="AQ73" s="7"/>
      <c r="AR73" s="7"/>
      <c r="AS73" s="7"/>
      <c r="AT73" s="7"/>
      <c r="AU73" s="7"/>
      <c r="AW73" s="7"/>
      <c r="AX73" s="7"/>
      <c r="AY73" s="7"/>
      <c r="AZ73" s="7"/>
      <c r="BA73" s="7"/>
      <c r="BB73" s="7"/>
      <c r="BC73" s="7"/>
      <c r="BD73" s="12"/>
    </row>
    <row r="74" spans="6:56" x14ac:dyDescent="0.25">
      <c r="I74" s="7"/>
      <c r="J74" s="7"/>
      <c r="K74" s="7"/>
      <c r="L74" s="7"/>
      <c r="M74" s="7"/>
      <c r="N74" s="7"/>
      <c r="O74" s="7"/>
      <c r="Q74" s="7"/>
      <c r="R74" s="7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  <c r="AG74" s="7"/>
      <c r="AH74" s="7"/>
      <c r="AI74" s="7"/>
      <c r="AJ74" s="7"/>
      <c r="AK74" s="7"/>
      <c r="AL74" s="7"/>
      <c r="AM74" s="7"/>
      <c r="AO74" s="7"/>
      <c r="AP74" s="7"/>
      <c r="AQ74" s="7"/>
      <c r="AR74" s="7"/>
      <c r="AS74" s="7"/>
      <c r="AT74" s="7"/>
      <c r="AU74" s="7"/>
      <c r="AW74" s="7"/>
      <c r="AX74" s="7"/>
      <c r="AY74" s="7"/>
      <c r="AZ74" s="7"/>
      <c r="BA74" s="7"/>
      <c r="BB74" s="7"/>
      <c r="BC74" s="7"/>
      <c r="BD74" s="12"/>
    </row>
    <row r="75" spans="6:56" x14ac:dyDescent="0.25">
      <c r="I75" s="7"/>
      <c r="J75" s="7"/>
      <c r="K75" s="7"/>
      <c r="L75" s="7"/>
      <c r="M75" s="7"/>
      <c r="N75" s="7"/>
      <c r="O75" s="7"/>
      <c r="Q75" s="7"/>
      <c r="R75" s="7"/>
      <c r="S75" s="7"/>
      <c r="T75" s="7"/>
      <c r="U75" s="7"/>
      <c r="V75" s="7"/>
      <c r="W75" s="7"/>
      <c r="Y75" s="7"/>
      <c r="Z75" s="7"/>
      <c r="AA75" s="7"/>
      <c r="AB75" s="7"/>
      <c r="AC75" s="7"/>
      <c r="AD75" s="7"/>
      <c r="AE75" s="7"/>
      <c r="AG75" s="7"/>
      <c r="AH75" s="7"/>
      <c r="AI75" s="7"/>
      <c r="AJ75" s="7"/>
      <c r="AK75" s="7"/>
      <c r="AL75" s="7"/>
      <c r="AM75" s="7"/>
      <c r="AO75" s="7"/>
      <c r="AP75" s="7"/>
      <c r="AQ75" s="7"/>
      <c r="AR75" s="7"/>
      <c r="AS75" s="7"/>
      <c r="AT75" s="7"/>
      <c r="AU75" s="7"/>
      <c r="AW75" s="7"/>
      <c r="AX75" s="7"/>
      <c r="AY75" s="7"/>
      <c r="AZ75" s="7"/>
      <c r="BA75" s="7"/>
      <c r="BB75" s="7"/>
      <c r="BC75" s="7"/>
      <c r="BD75" s="12"/>
    </row>
    <row r="76" spans="6:56" x14ac:dyDescent="0.25">
      <c r="I76" s="7"/>
      <c r="J76" s="7"/>
      <c r="K76" s="7"/>
      <c r="L76" s="7"/>
      <c r="M76" s="7"/>
      <c r="N76" s="7"/>
      <c r="O76" s="7"/>
      <c r="Q76" s="7"/>
      <c r="R76" s="7"/>
      <c r="S76" s="7"/>
      <c r="T76" s="7"/>
      <c r="U76" s="7"/>
      <c r="V76" s="7"/>
      <c r="W76" s="7"/>
      <c r="Y76" s="7"/>
      <c r="Z76" s="7"/>
      <c r="AA76" s="7"/>
      <c r="AB76" s="7"/>
      <c r="AC76" s="7"/>
      <c r="AD76" s="7"/>
      <c r="AE76" s="7"/>
      <c r="AG76" s="7"/>
      <c r="AH76" s="7"/>
      <c r="AI76" s="7"/>
      <c r="AJ76" s="7"/>
      <c r="AK76" s="7"/>
      <c r="AL76" s="7"/>
      <c r="AM76" s="7"/>
      <c r="AO76" s="7"/>
      <c r="AP76" s="7"/>
      <c r="AQ76" s="7"/>
      <c r="AR76" s="7"/>
      <c r="AS76" s="7"/>
      <c r="AT76" s="7"/>
      <c r="AU76" s="7"/>
      <c r="AW76" s="7"/>
      <c r="AX76" s="7"/>
      <c r="AY76" s="7"/>
      <c r="AZ76" s="7"/>
      <c r="BA76" s="7"/>
      <c r="BB76" s="7"/>
      <c r="BC76" s="7"/>
      <c r="BD76" s="12"/>
    </row>
    <row r="77" spans="6:56" x14ac:dyDescent="0.25">
      <c r="I77" s="7"/>
      <c r="J77" s="7"/>
      <c r="K77" s="7"/>
      <c r="L77" s="7"/>
      <c r="M77" s="7"/>
      <c r="N77" s="7"/>
      <c r="O77" s="7"/>
      <c r="Q77" s="7"/>
      <c r="R77" s="7"/>
      <c r="S77" s="7"/>
      <c r="T77" s="7"/>
      <c r="U77" s="7"/>
      <c r="V77" s="7"/>
      <c r="W77" s="7"/>
      <c r="Y77" s="7"/>
      <c r="Z77" s="7"/>
      <c r="AA77" s="7"/>
      <c r="AB77" s="7"/>
      <c r="AC77" s="7"/>
      <c r="AD77" s="7"/>
      <c r="AE77" s="7"/>
      <c r="AG77" s="7"/>
      <c r="AH77" s="7"/>
      <c r="AI77" s="7"/>
      <c r="AJ77" s="7"/>
      <c r="AK77" s="7"/>
      <c r="AL77" s="7"/>
      <c r="AM77" s="7"/>
      <c r="AO77" s="7"/>
      <c r="AP77" s="7"/>
      <c r="AQ77" s="7"/>
      <c r="AR77" s="7"/>
      <c r="AS77" s="7"/>
      <c r="AT77" s="7"/>
      <c r="AU77" s="7"/>
      <c r="AW77" s="7"/>
      <c r="AX77" s="7"/>
      <c r="AY77" s="7"/>
      <c r="AZ77" s="7"/>
      <c r="BA77" s="7"/>
      <c r="BB77" s="7"/>
      <c r="BC77" s="7"/>
      <c r="BD77" s="12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9BAF-5A2D-4C79-A963-F83C6E260858}">
  <dimension ref="A1:G76"/>
  <sheetViews>
    <sheetView workbookViewId="0">
      <selection activeCell="F1" sqref="F1:G76"/>
    </sheetView>
  </sheetViews>
  <sheetFormatPr defaultRowHeight="15" x14ac:dyDescent="0.25"/>
  <cols>
    <col min="1" max="2" width="13" bestFit="1" customWidth="1"/>
    <col min="4" max="4" width="10.42578125" bestFit="1" customWidth="1"/>
    <col min="5" max="5" width="10.7109375" bestFit="1" customWidth="1"/>
  </cols>
  <sheetData>
    <row r="1" spans="1:7" ht="18.75" x14ac:dyDescent="0.25">
      <c r="A1" s="3" t="s">
        <v>124</v>
      </c>
      <c r="B1" s="3" t="s">
        <v>125</v>
      </c>
      <c r="D1" t="str">
        <f>TEXT(A1,"yyyy/mm/dd")</f>
        <v>2060/01/07</v>
      </c>
      <c r="E1" t="str" cm="1">
        <f t="array" ref="E1">[1]!BS2AD(D1)</f>
        <v>04/20/2003</v>
      </c>
      <c r="F1" t="str">
        <f>TEXT(D1,"yyyy-mm-dd")</f>
        <v>2060-01-07</v>
      </c>
      <c r="G1" t="str">
        <f>TEXT(E1,"yyyy-mm-dd")</f>
        <v>2003-04-20</v>
      </c>
    </row>
    <row r="2" spans="1:7" ht="18.75" x14ac:dyDescent="0.25">
      <c r="A2" s="3" t="s">
        <v>126</v>
      </c>
      <c r="B2" s="3" t="s">
        <v>127</v>
      </c>
      <c r="D2" t="str">
        <f t="shared" ref="D2:D65" si="0">TEXT(A2,"yyyy/mm/dd")</f>
        <v>2061/10/08</v>
      </c>
      <c r="E2" t="str" cm="1">
        <f t="array" ref="E2">[1]!BS2AD(D2)</f>
        <v>01/21/2005</v>
      </c>
      <c r="F2" t="str">
        <f t="shared" ref="F2:F65" si="1">TEXT(D2,"yyyy-mm-dd")</f>
        <v>2061-10-08</v>
      </c>
      <c r="G2" t="str">
        <f t="shared" ref="G2:G65" si="2">TEXT(E2,"yyyy-mm-dd")</f>
        <v>2005-01-21</v>
      </c>
    </row>
    <row r="3" spans="1:7" ht="18.75" x14ac:dyDescent="0.25">
      <c r="A3" s="3" t="s">
        <v>128</v>
      </c>
      <c r="B3" s="3" t="s">
        <v>129</v>
      </c>
      <c r="D3" t="str">
        <f t="shared" si="0"/>
        <v>2059/10/27</v>
      </c>
      <c r="E3" t="str" cm="1">
        <f t="array" ref="E3">[1]!BS2AD(D3)</f>
        <v>02/10/2003</v>
      </c>
      <c r="F3" t="str">
        <f t="shared" si="1"/>
        <v>2059-10-27</v>
      </c>
      <c r="G3" t="str">
        <f t="shared" si="2"/>
        <v>2003-02-10</v>
      </c>
    </row>
    <row r="4" spans="1:7" ht="18.75" x14ac:dyDescent="0.25">
      <c r="A4" s="3" t="s">
        <v>130</v>
      </c>
      <c r="B4" s="3" t="s">
        <v>131</v>
      </c>
      <c r="D4" t="str">
        <f t="shared" si="0"/>
        <v>2061/09/02</v>
      </c>
      <c r="E4" t="str" cm="1">
        <f t="array" ref="E4">[1]!BS2AD(D4)</f>
        <v>12/17/2004</v>
      </c>
      <c r="F4" t="str">
        <f t="shared" si="1"/>
        <v>2061-09-02</v>
      </c>
      <c r="G4" t="str">
        <f t="shared" si="2"/>
        <v>2004-12-17</v>
      </c>
    </row>
    <row r="5" spans="1:7" ht="18.75" x14ac:dyDescent="0.25">
      <c r="A5" s="3" t="s">
        <v>132</v>
      </c>
      <c r="B5" s="3" t="s">
        <v>133</v>
      </c>
      <c r="D5" t="str">
        <f t="shared" si="0"/>
        <v>2060/11/18</v>
      </c>
      <c r="E5" t="str" cm="1">
        <f t="array" ref="E5">[1]!BS2AD(D5)</f>
        <v>03/01/2004</v>
      </c>
      <c r="F5" t="str">
        <f t="shared" si="1"/>
        <v>2060-11-18</v>
      </c>
      <c r="G5" t="str">
        <f t="shared" si="2"/>
        <v>2004-03-01</v>
      </c>
    </row>
    <row r="6" spans="1:7" ht="18.75" x14ac:dyDescent="0.25">
      <c r="A6" s="3" t="s">
        <v>134</v>
      </c>
      <c r="B6" s="3" t="s">
        <v>135</v>
      </c>
      <c r="D6" t="str">
        <f t="shared" si="0"/>
        <v>2061/05/18</v>
      </c>
      <c r="E6" t="str" cm="1">
        <f t="array" ref="E6">[1]!BS2AD(D6)</f>
        <v>09/03/2004</v>
      </c>
      <c r="F6" t="str">
        <f t="shared" si="1"/>
        <v>2061-05-18</v>
      </c>
      <c r="G6" t="str">
        <f t="shared" si="2"/>
        <v>2004-09-03</v>
      </c>
    </row>
    <row r="7" spans="1:7" ht="18.75" x14ac:dyDescent="0.25">
      <c r="A7" s="3" t="s">
        <v>136</v>
      </c>
      <c r="B7" s="3" t="s">
        <v>137</v>
      </c>
      <c r="D7" t="str">
        <f t="shared" si="0"/>
        <v>2059/07/19</v>
      </c>
      <c r="E7" t="str" cm="1">
        <f t="array" ref="E7">[1]!BS2AD(D7)</f>
        <v>11/05/2002</v>
      </c>
      <c r="F7" t="str">
        <f t="shared" si="1"/>
        <v>2059-07-19</v>
      </c>
      <c r="G7" t="str">
        <f t="shared" si="2"/>
        <v>2002-11-05</v>
      </c>
    </row>
    <row r="8" spans="1:7" ht="18.75" x14ac:dyDescent="0.25">
      <c r="A8" s="3" t="s">
        <v>138</v>
      </c>
      <c r="B8" s="3" t="s">
        <v>139</v>
      </c>
      <c r="D8" t="str">
        <f t="shared" si="0"/>
        <v>2061/02/15</v>
      </c>
      <c r="E8" t="str" cm="1">
        <f t="array" ref="E8">[1]!BS2AD(D8)</f>
        <v>05/28/2004</v>
      </c>
      <c r="F8" t="str">
        <f t="shared" si="1"/>
        <v>2061-02-15</v>
      </c>
      <c r="G8" t="str">
        <f t="shared" si="2"/>
        <v>2004-05-28</v>
      </c>
    </row>
    <row r="9" spans="1:7" ht="18.75" x14ac:dyDescent="0.25">
      <c r="A9" s="3" t="s">
        <v>140</v>
      </c>
      <c r="B9" s="3" t="s">
        <v>141</v>
      </c>
      <c r="D9" t="str">
        <f t="shared" si="0"/>
        <v>2061/05/24</v>
      </c>
      <c r="E9" t="str" cm="1">
        <f t="array" ref="E9">[1]!BS2AD(D9)</f>
        <v>09/09/2004</v>
      </c>
      <c r="F9" t="str">
        <f t="shared" si="1"/>
        <v>2061-05-24</v>
      </c>
      <c r="G9" t="str">
        <f t="shared" si="2"/>
        <v>2004-09-09</v>
      </c>
    </row>
    <row r="10" spans="1:7" ht="18.75" x14ac:dyDescent="0.25">
      <c r="A10" s="3" t="s">
        <v>142</v>
      </c>
      <c r="B10" s="3" t="s">
        <v>143</v>
      </c>
      <c r="D10" t="str">
        <f t="shared" si="0"/>
        <v>2062/07/22</v>
      </c>
      <c r="E10" t="str" cm="1">
        <f t="array" ref="E10">[1]!BS2AD(D10)</f>
        <v>11/08/2005</v>
      </c>
      <c r="F10" t="str">
        <f t="shared" si="1"/>
        <v>2062-07-22</v>
      </c>
      <c r="G10" t="str">
        <f t="shared" si="2"/>
        <v>2005-11-08</v>
      </c>
    </row>
    <row r="11" spans="1:7" ht="18.75" x14ac:dyDescent="0.25">
      <c r="A11" s="3" t="s">
        <v>144</v>
      </c>
      <c r="B11" s="3" t="s">
        <v>145</v>
      </c>
      <c r="D11" t="str">
        <f t="shared" si="0"/>
        <v>2059/12/04</v>
      </c>
      <c r="E11" t="str" cm="1">
        <f t="array" ref="E11">[1]!BS2AD(D11)</f>
        <v>03/18/2003</v>
      </c>
      <c r="F11" t="str">
        <f t="shared" si="1"/>
        <v>2059-12-04</v>
      </c>
      <c r="G11" t="str">
        <f t="shared" si="2"/>
        <v>2003-03-18</v>
      </c>
    </row>
    <row r="12" spans="1:7" ht="18.75" x14ac:dyDescent="0.25">
      <c r="A12" s="3" t="s">
        <v>146</v>
      </c>
      <c r="B12" s="3" t="s">
        <v>147</v>
      </c>
      <c r="D12" t="str">
        <f t="shared" si="0"/>
        <v>2057/12/31</v>
      </c>
      <c r="E12" t="str" cm="1">
        <f t="array" ref="E12">[1]!BS2AD(D12)</f>
        <v>04/13/2001</v>
      </c>
      <c r="F12" t="str">
        <f t="shared" si="1"/>
        <v>2057-12-31</v>
      </c>
      <c r="G12" t="str">
        <f t="shared" si="2"/>
        <v>2001-04-13</v>
      </c>
    </row>
    <row r="13" spans="1:7" ht="18.75" x14ac:dyDescent="0.25">
      <c r="A13" s="3" t="s">
        <v>148</v>
      </c>
      <c r="B13" s="3" t="s">
        <v>149</v>
      </c>
      <c r="D13" t="str">
        <f t="shared" si="0"/>
        <v>2060/01/03</v>
      </c>
      <c r="E13" t="str" cm="1">
        <f t="array" ref="E13">[1]!BS2AD(D13)</f>
        <v>04/16/2003</v>
      </c>
      <c r="F13" t="str">
        <f t="shared" si="1"/>
        <v>2060-01-03</v>
      </c>
      <c r="G13" t="str">
        <f t="shared" si="2"/>
        <v>2003-04-16</v>
      </c>
    </row>
    <row r="14" spans="1:7" ht="18.75" x14ac:dyDescent="0.25">
      <c r="A14" s="3" t="s">
        <v>150</v>
      </c>
      <c r="B14" s="3" t="s">
        <v>151</v>
      </c>
      <c r="D14" t="str">
        <f t="shared" si="0"/>
        <v>2061/06/26</v>
      </c>
      <c r="E14" t="str" cm="1">
        <f t="array" ref="E14">[1]!BS2AD(D14)</f>
        <v>10/12/2004</v>
      </c>
      <c r="F14" t="str">
        <f t="shared" si="1"/>
        <v>2061-06-26</v>
      </c>
      <c r="G14" t="str">
        <f t="shared" si="2"/>
        <v>2004-10-12</v>
      </c>
    </row>
    <row r="15" spans="1:7" ht="18.75" x14ac:dyDescent="0.25">
      <c r="A15" s="3" t="s">
        <v>152</v>
      </c>
      <c r="B15" s="3" t="s">
        <v>153</v>
      </c>
      <c r="D15" t="str">
        <f t="shared" si="0"/>
        <v>2060/12/10</v>
      </c>
      <c r="E15" t="str" cm="1">
        <f t="array" ref="E15">[1]!BS2AD(D15)</f>
        <v>03/23/2004</v>
      </c>
      <c r="F15" t="str">
        <f t="shared" si="1"/>
        <v>2060-12-10</v>
      </c>
      <c r="G15" t="str">
        <f t="shared" si="2"/>
        <v>2004-03-23</v>
      </c>
    </row>
    <row r="16" spans="1:7" ht="18.75" x14ac:dyDescent="0.25">
      <c r="A16" s="3" t="s">
        <v>154</v>
      </c>
      <c r="B16" s="3" t="s">
        <v>155</v>
      </c>
      <c r="D16" t="str">
        <f t="shared" si="0"/>
        <v>2060/06/20</v>
      </c>
      <c r="E16" t="str" cm="1">
        <f t="array" ref="E16">[1]!BS2AD(D16)</f>
        <v>10/07/2003</v>
      </c>
      <c r="F16" t="str">
        <f t="shared" si="1"/>
        <v>2060-06-20</v>
      </c>
      <c r="G16" t="str">
        <f t="shared" si="2"/>
        <v>2003-10-07</v>
      </c>
    </row>
    <row r="17" spans="1:7" ht="18.75" x14ac:dyDescent="0.25">
      <c r="A17" s="3" t="s">
        <v>156</v>
      </c>
      <c r="B17" s="3" t="s">
        <v>157</v>
      </c>
      <c r="D17" t="str">
        <f t="shared" si="0"/>
        <v>2060/06/19</v>
      </c>
      <c r="E17" t="str" cm="1">
        <f t="array" ref="E17">[1]!BS2AD(D17)</f>
        <v>10/06/2003</v>
      </c>
      <c r="F17" t="str">
        <f t="shared" si="1"/>
        <v>2060-06-19</v>
      </c>
      <c r="G17" t="str">
        <f t="shared" si="2"/>
        <v>2003-10-06</v>
      </c>
    </row>
    <row r="18" spans="1:7" ht="18.75" x14ac:dyDescent="0.25">
      <c r="A18" s="3" t="s">
        <v>158</v>
      </c>
      <c r="B18" s="3" t="s">
        <v>159</v>
      </c>
      <c r="D18" t="str">
        <f t="shared" si="0"/>
        <v>2061/04/16</v>
      </c>
      <c r="E18" t="str" cm="1">
        <f t="array" ref="E18">[1]!BS2AD(D18)</f>
        <v>07/31/2004</v>
      </c>
      <c r="F18" t="str">
        <f t="shared" si="1"/>
        <v>2061-04-16</v>
      </c>
      <c r="G18" t="str">
        <f t="shared" si="2"/>
        <v>2004-07-31</v>
      </c>
    </row>
    <row r="19" spans="1:7" ht="18.75" x14ac:dyDescent="0.25">
      <c r="A19" s="3" t="s">
        <v>160</v>
      </c>
      <c r="B19" s="3" t="s">
        <v>161</v>
      </c>
      <c r="D19" t="str">
        <f t="shared" si="0"/>
        <v>2061/06/18</v>
      </c>
      <c r="E19" t="str" cm="1">
        <f t="array" ref="E19">[1]!BS2AD(D19)</f>
        <v>10/04/2004</v>
      </c>
      <c r="F19" t="str">
        <f t="shared" si="1"/>
        <v>2061-06-18</v>
      </c>
      <c r="G19" t="str">
        <f t="shared" si="2"/>
        <v>2004-10-04</v>
      </c>
    </row>
    <row r="20" spans="1:7" ht="18.75" x14ac:dyDescent="0.25">
      <c r="A20" s="15">
        <v>58983</v>
      </c>
      <c r="B20" s="3" t="s">
        <v>162</v>
      </c>
      <c r="D20" t="str">
        <f t="shared" si="0"/>
        <v>2061/06/26</v>
      </c>
      <c r="E20" t="str" cm="1">
        <f t="array" ref="E20">[1]!BS2AD(D20)</f>
        <v>10/12/2004</v>
      </c>
      <c r="F20" t="str">
        <f t="shared" si="1"/>
        <v>2061-06-26</v>
      </c>
      <c r="G20" t="str">
        <f t="shared" si="2"/>
        <v>2004-10-12</v>
      </c>
    </row>
    <row r="21" spans="1:7" ht="18.75" x14ac:dyDescent="0.25">
      <c r="A21" s="15">
        <v>58839</v>
      </c>
      <c r="B21" s="3" t="s">
        <v>151</v>
      </c>
      <c r="D21" t="str">
        <f t="shared" si="0"/>
        <v>2061/02/02</v>
      </c>
      <c r="E21" t="str" cm="1">
        <f t="array" ref="E21">[1]!BS2AD(D21)</f>
        <v>05/15/2004</v>
      </c>
      <c r="F21" t="str">
        <f t="shared" si="1"/>
        <v>2061-02-02</v>
      </c>
      <c r="G21" t="str">
        <f t="shared" si="2"/>
        <v>2004-05-15</v>
      </c>
    </row>
    <row r="22" spans="1:7" ht="18.75" x14ac:dyDescent="0.25">
      <c r="A22" s="3" t="s">
        <v>163</v>
      </c>
      <c r="B22" s="3" t="s">
        <v>164</v>
      </c>
      <c r="D22" t="str">
        <f t="shared" si="0"/>
        <v>2060/03/27</v>
      </c>
      <c r="E22" t="str" cm="1">
        <f t="array" ref="E22">[1]!BS2AD(D22)</f>
        <v>07/11/2003</v>
      </c>
      <c r="F22" t="str">
        <f t="shared" si="1"/>
        <v>2060-03-27</v>
      </c>
      <c r="G22" t="str">
        <f t="shared" si="2"/>
        <v>2003-07-11</v>
      </c>
    </row>
    <row r="23" spans="1:7" ht="18.75" x14ac:dyDescent="0.25">
      <c r="A23" s="3" t="s">
        <v>165</v>
      </c>
      <c r="B23" s="3" t="s">
        <v>166</v>
      </c>
      <c r="D23" t="str">
        <f t="shared" si="0"/>
        <v>2061/08/27</v>
      </c>
      <c r="E23" t="str" cm="1">
        <f t="array" ref="E23">[1]!BS2AD(D23)</f>
        <v>12/12/2004</v>
      </c>
      <c r="F23" t="str">
        <f t="shared" si="1"/>
        <v>2061-08-27</v>
      </c>
      <c r="G23" t="str">
        <f t="shared" si="2"/>
        <v>2004-12-12</v>
      </c>
    </row>
    <row r="24" spans="1:7" ht="18.75" x14ac:dyDescent="0.25">
      <c r="A24" s="3" t="s">
        <v>167</v>
      </c>
      <c r="B24" s="3" t="s">
        <v>168</v>
      </c>
      <c r="D24" t="str">
        <f t="shared" si="0"/>
        <v>2060/12/29</v>
      </c>
      <c r="E24" t="str" cm="1">
        <f t="array" ref="E24">[1]!BS2AD(D24)</f>
        <v>04/11/2004</v>
      </c>
      <c r="F24" t="str">
        <f t="shared" si="1"/>
        <v>2060-12-29</v>
      </c>
      <c r="G24" t="str">
        <f t="shared" si="2"/>
        <v>2004-04-11</v>
      </c>
    </row>
    <row r="25" spans="1:7" ht="18.75" x14ac:dyDescent="0.25">
      <c r="A25" s="3" t="s">
        <v>169</v>
      </c>
      <c r="B25" s="3" t="s">
        <v>170</v>
      </c>
      <c r="D25" t="str">
        <f t="shared" si="0"/>
        <v>2062/05/14</v>
      </c>
      <c r="E25" t="str" cm="1">
        <f t="array" ref="E25">[1]!BS2AD(D25)</f>
        <v>08/30/2005</v>
      </c>
      <c r="F25" t="str">
        <f t="shared" si="1"/>
        <v>2062-05-14</v>
      </c>
      <c r="G25" t="str">
        <f t="shared" si="2"/>
        <v>2005-08-30</v>
      </c>
    </row>
    <row r="26" spans="1:7" ht="18.75" x14ac:dyDescent="0.25">
      <c r="A26" s="3" t="s">
        <v>171</v>
      </c>
      <c r="B26" s="3" t="s">
        <v>172</v>
      </c>
      <c r="D26" t="str">
        <f t="shared" si="0"/>
        <v>2060/06/18</v>
      </c>
      <c r="E26" t="str" cm="1">
        <f t="array" ref="E26">[1]!BS2AD(D26)</f>
        <v>10/05/2003</v>
      </c>
      <c r="F26" t="str">
        <f t="shared" si="1"/>
        <v>2060-06-18</v>
      </c>
      <c r="G26" t="str">
        <f t="shared" si="2"/>
        <v>2003-10-05</v>
      </c>
    </row>
    <row r="27" spans="1:7" ht="18.75" x14ac:dyDescent="0.25">
      <c r="A27" s="3" t="s">
        <v>173</v>
      </c>
      <c r="B27" s="3" t="s">
        <v>174</v>
      </c>
      <c r="D27" t="str">
        <f t="shared" si="0"/>
        <v>2061/03/14</v>
      </c>
      <c r="E27" t="str" cm="1">
        <f t="array" ref="E27">[1]!BS2AD(D27)</f>
        <v>06/28/2004</v>
      </c>
      <c r="F27" t="str">
        <f t="shared" si="1"/>
        <v>2061-03-14</v>
      </c>
      <c r="G27" t="str">
        <f t="shared" si="2"/>
        <v>2004-06-28</v>
      </c>
    </row>
    <row r="28" spans="1:7" ht="18.75" x14ac:dyDescent="0.25">
      <c r="A28" s="3" t="s">
        <v>175</v>
      </c>
      <c r="B28" s="3" t="s">
        <v>176</v>
      </c>
      <c r="D28" t="str">
        <f t="shared" si="0"/>
        <v>2060/12/15</v>
      </c>
      <c r="E28" t="str" cm="1">
        <f t="array" ref="E28">[1]!BS2AD(D28)</f>
        <v>03/28/2004</v>
      </c>
      <c r="F28" t="str">
        <f t="shared" si="1"/>
        <v>2060-12-15</v>
      </c>
      <c r="G28" t="str">
        <f t="shared" si="2"/>
        <v>2004-03-28</v>
      </c>
    </row>
    <row r="29" spans="1:7" ht="18.75" x14ac:dyDescent="0.25">
      <c r="A29" s="3" t="s">
        <v>177</v>
      </c>
      <c r="B29" s="3" t="s">
        <v>178</v>
      </c>
      <c r="D29" t="str">
        <f t="shared" si="0"/>
        <v>2061/10/07</v>
      </c>
      <c r="E29" t="str" cm="1">
        <f t="array" ref="E29">[1]!BS2AD(D29)</f>
        <v>01/20/2005</v>
      </c>
      <c r="F29" t="str">
        <f t="shared" si="1"/>
        <v>2061-10-07</v>
      </c>
      <c r="G29" t="str">
        <f t="shared" si="2"/>
        <v>2005-01-20</v>
      </c>
    </row>
    <row r="30" spans="1:7" x14ac:dyDescent="0.25">
      <c r="A30" s="6" t="s">
        <v>179</v>
      </c>
      <c r="B30" s="6" t="s">
        <v>180</v>
      </c>
      <c r="D30" t="str">
        <f t="shared" si="0"/>
        <v>2060/11/06</v>
      </c>
      <c r="E30" t="str" cm="1">
        <f t="array" ref="E30">[1]!BS2AD(D30)</f>
        <v>02/18/2004</v>
      </c>
      <c r="F30" t="str">
        <f t="shared" si="1"/>
        <v>2060-11-06</v>
      </c>
      <c r="G30" t="str">
        <f t="shared" si="2"/>
        <v>2004-02-18</v>
      </c>
    </row>
    <row r="31" spans="1:7" x14ac:dyDescent="0.25">
      <c r="A31" s="6" t="s">
        <v>181</v>
      </c>
      <c r="B31" s="6" t="s">
        <v>182</v>
      </c>
      <c r="D31" t="str">
        <f t="shared" si="0"/>
        <v>2059/10/02</v>
      </c>
      <c r="E31" t="str" cm="1">
        <f t="array" ref="E31">[1]!BS2AD(D31)</f>
        <v>01/16/2003</v>
      </c>
      <c r="F31" t="str">
        <f t="shared" si="1"/>
        <v>2059-10-02</v>
      </c>
      <c r="G31" t="str">
        <f t="shared" si="2"/>
        <v>2003-01-16</v>
      </c>
    </row>
    <row r="32" spans="1:7" x14ac:dyDescent="0.25">
      <c r="A32" s="6" t="s">
        <v>183</v>
      </c>
      <c r="B32" s="6" t="s">
        <v>184</v>
      </c>
      <c r="D32" t="str">
        <f t="shared" si="0"/>
        <v>2061/03/31</v>
      </c>
      <c r="E32" t="str" cm="1">
        <f t="array" ref="E32">[1]!BS2AD(D32)</f>
        <v>07/15/2004</v>
      </c>
      <c r="F32" t="str">
        <f t="shared" si="1"/>
        <v>2061-03-31</v>
      </c>
      <c r="G32" t="str">
        <f t="shared" si="2"/>
        <v>2004-07-15</v>
      </c>
    </row>
    <row r="33" spans="1:7" x14ac:dyDescent="0.25">
      <c r="A33" s="6" t="s">
        <v>185</v>
      </c>
      <c r="B33" s="6" t="s">
        <v>186</v>
      </c>
      <c r="D33" t="str">
        <f t="shared" si="0"/>
        <v>2059/12/21</v>
      </c>
      <c r="E33" t="str" cm="1">
        <f t="array" ref="E33">[1]!BS2AD(D33)</f>
        <v>04/04/2003</v>
      </c>
      <c r="F33" t="str">
        <f t="shared" si="1"/>
        <v>2059-12-21</v>
      </c>
      <c r="G33" t="str">
        <f t="shared" si="2"/>
        <v>2003-04-04</v>
      </c>
    </row>
    <row r="34" spans="1:7" x14ac:dyDescent="0.25">
      <c r="A34" s="6" t="s">
        <v>187</v>
      </c>
      <c r="B34" s="6" t="s">
        <v>188</v>
      </c>
      <c r="D34" t="str">
        <f t="shared" si="0"/>
        <v>2059/09/10</v>
      </c>
      <c r="E34" t="str" cm="1">
        <f t="array" ref="E34">[1]!BS2AD(D34)</f>
        <v>12/25/2002</v>
      </c>
      <c r="F34" t="str">
        <f t="shared" si="1"/>
        <v>2059-09-10</v>
      </c>
      <c r="G34" t="str">
        <f t="shared" si="2"/>
        <v>2002-12-25</v>
      </c>
    </row>
    <row r="35" spans="1:7" x14ac:dyDescent="0.25">
      <c r="A35" s="6" t="s">
        <v>189</v>
      </c>
      <c r="B35" s="6" t="s">
        <v>190</v>
      </c>
      <c r="D35" t="str">
        <f t="shared" si="0"/>
        <v>2060/07/23</v>
      </c>
      <c r="E35" t="str" cm="1">
        <f t="array" ref="E35">[1]!BS2AD(D35)</f>
        <v>11/09/2003</v>
      </c>
      <c r="F35" t="str">
        <f t="shared" si="1"/>
        <v>2060-07-23</v>
      </c>
      <c r="G35" t="str">
        <f t="shared" si="2"/>
        <v>2003-11-09</v>
      </c>
    </row>
    <row r="36" spans="1:7" x14ac:dyDescent="0.25">
      <c r="A36" s="6" t="s">
        <v>191</v>
      </c>
      <c r="B36" s="6" t="s">
        <v>192</v>
      </c>
      <c r="D36" t="str">
        <f t="shared" si="0"/>
        <v>2060/03/19</v>
      </c>
      <c r="E36" t="str" cm="1">
        <f t="array" ref="E36">[1]!BS2AD(D36)</f>
        <v>07/03/2003</v>
      </c>
      <c r="F36" t="str">
        <f t="shared" si="1"/>
        <v>2060-03-19</v>
      </c>
      <c r="G36" t="str">
        <f t="shared" si="2"/>
        <v>2003-07-03</v>
      </c>
    </row>
    <row r="37" spans="1:7" x14ac:dyDescent="0.25">
      <c r="A37" s="13">
        <v>58076</v>
      </c>
      <c r="B37" s="6" t="s">
        <v>192</v>
      </c>
      <c r="D37" t="str">
        <f t="shared" si="0"/>
        <v>2059/01/01</v>
      </c>
      <c r="E37" t="str" cm="1">
        <f t="array" ref="E37">[1]!BS2AD(D37)</f>
        <v>04/14/2002</v>
      </c>
      <c r="F37" t="str">
        <f t="shared" si="1"/>
        <v>2059-01-01</v>
      </c>
      <c r="G37" t="str">
        <f t="shared" si="2"/>
        <v>2002-04-14</v>
      </c>
    </row>
    <row r="38" spans="1:7" x14ac:dyDescent="0.25">
      <c r="A38" s="6" t="s">
        <v>193</v>
      </c>
      <c r="B38" s="6" t="s">
        <v>194</v>
      </c>
      <c r="D38" t="str">
        <f t="shared" si="0"/>
        <v>2059/04/02</v>
      </c>
      <c r="E38" t="str" cm="1">
        <f t="array" ref="E38">[1]!BS2AD(D38)</f>
        <v>07/18/2002</v>
      </c>
      <c r="F38" t="str">
        <f t="shared" si="1"/>
        <v>2059-04-02</v>
      </c>
      <c r="G38" t="str">
        <f t="shared" si="2"/>
        <v>2002-07-18</v>
      </c>
    </row>
    <row r="39" spans="1:7" x14ac:dyDescent="0.25">
      <c r="A39" s="6" t="s">
        <v>195</v>
      </c>
      <c r="B39" s="6" t="s">
        <v>196</v>
      </c>
      <c r="D39" t="str">
        <f t="shared" si="0"/>
        <v>2060/09/22</v>
      </c>
      <c r="E39" t="str" cm="1">
        <f t="array" ref="E39">[1]!BS2AD(D39)</f>
        <v>01/06/2004</v>
      </c>
      <c r="F39" t="str">
        <f t="shared" si="1"/>
        <v>2060-09-22</v>
      </c>
      <c r="G39" t="str">
        <f t="shared" si="2"/>
        <v>2004-01-06</v>
      </c>
    </row>
    <row r="40" spans="1:7" x14ac:dyDescent="0.25">
      <c r="A40" s="6" t="s">
        <v>197</v>
      </c>
      <c r="B40" s="6" t="s">
        <v>198</v>
      </c>
      <c r="D40" t="str">
        <f t="shared" si="0"/>
        <v>2062/03/12</v>
      </c>
      <c r="E40" t="str" cm="1">
        <f t="array" ref="E40">[1]!BS2AD(D40)</f>
        <v>06/26/2005</v>
      </c>
      <c r="F40" t="str">
        <f t="shared" si="1"/>
        <v>2062-03-12</v>
      </c>
      <c r="G40" t="str">
        <f t="shared" si="2"/>
        <v>2005-06-26</v>
      </c>
    </row>
    <row r="41" spans="1:7" x14ac:dyDescent="0.25">
      <c r="A41" s="6" t="s">
        <v>199</v>
      </c>
      <c r="B41" s="6" t="s">
        <v>200</v>
      </c>
      <c r="D41" t="str">
        <f t="shared" si="0"/>
        <v>2060/01/18</v>
      </c>
      <c r="E41" t="str" cm="1">
        <f t="array" ref="E41">[1]!BS2AD(D41)</f>
        <v>05/01/2003</v>
      </c>
      <c r="F41" t="str">
        <f t="shared" si="1"/>
        <v>2060-01-18</v>
      </c>
      <c r="G41" t="str">
        <f t="shared" si="2"/>
        <v>2003-05-01</v>
      </c>
    </row>
    <row r="42" spans="1:7" x14ac:dyDescent="0.25">
      <c r="A42" s="6" t="s">
        <v>201</v>
      </c>
      <c r="B42" s="6" t="s">
        <v>202</v>
      </c>
      <c r="D42" t="str">
        <f t="shared" si="0"/>
        <v>2062/10/01</v>
      </c>
      <c r="E42" t="str" cm="1">
        <f t="array" ref="E42">[1]!BS2AD(D42)</f>
        <v>01/14/2006</v>
      </c>
      <c r="F42" t="str">
        <f t="shared" si="1"/>
        <v>2062-10-01</v>
      </c>
      <c r="G42" t="str">
        <f t="shared" si="2"/>
        <v>2006-01-14</v>
      </c>
    </row>
    <row r="43" spans="1:7" x14ac:dyDescent="0.25">
      <c r="A43" s="6" t="s">
        <v>203</v>
      </c>
      <c r="B43" s="6" t="s">
        <v>204</v>
      </c>
      <c r="D43" t="str">
        <f t="shared" si="0"/>
        <v>2061/10/02</v>
      </c>
      <c r="E43" t="str" cm="1">
        <f t="array" ref="E43">[1]!BS2AD(D43)</f>
        <v>01/15/2005</v>
      </c>
      <c r="F43" t="str">
        <f t="shared" si="1"/>
        <v>2061-10-02</v>
      </c>
      <c r="G43" t="str">
        <f t="shared" si="2"/>
        <v>2005-01-15</v>
      </c>
    </row>
    <row r="44" spans="1:7" x14ac:dyDescent="0.25">
      <c r="A44" s="6" t="s">
        <v>205</v>
      </c>
      <c r="B44" s="6" t="s">
        <v>206</v>
      </c>
      <c r="D44" t="str">
        <f t="shared" si="0"/>
        <v>2058/09/17</v>
      </c>
      <c r="E44" t="str" cm="1">
        <f t="array" ref="E44">[1]!BS2AD(D44)</f>
        <v>01/01/2002</v>
      </c>
      <c r="F44" t="str">
        <f t="shared" si="1"/>
        <v>2058-09-17</v>
      </c>
      <c r="G44" t="str">
        <f t="shared" si="2"/>
        <v>2002-01-01</v>
      </c>
    </row>
    <row r="45" spans="1:7" x14ac:dyDescent="0.25">
      <c r="A45" s="13">
        <v>58403</v>
      </c>
      <c r="B45" s="6" t="s">
        <v>207</v>
      </c>
      <c r="D45" t="str">
        <f t="shared" si="0"/>
        <v>2059/11/24</v>
      </c>
      <c r="E45" t="str" cm="1">
        <f t="array" ref="E45">[1]!BS2AD(D45)</f>
        <v>03/08/2003</v>
      </c>
      <c r="F45" t="str">
        <f t="shared" si="1"/>
        <v>2059-11-24</v>
      </c>
      <c r="G45" t="str">
        <f t="shared" si="2"/>
        <v>2003-03-08</v>
      </c>
    </row>
    <row r="46" spans="1:7" x14ac:dyDescent="0.25">
      <c r="A46" s="6" t="s">
        <v>208</v>
      </c>
      <c r="B46" s="6" t="s">
        <v>209</v>
      </c>
      <c r="D46" t="str">
        <f t="shared" si="0"/>
        <v>2059/09/12</v>
      </c>
      <c r="E46" t="str" cm="1">
        <f t="array" ref="E46">[1]!BS2AD(D46)</f>
        <v>12/27/2002</v>
      </c>
      <c r="F46" t="str">
        <f t="shared" si="1"/>
        <v>2059-09-12</v>
      </c>
      <c r="G46" t="str">
        <f t="shared" si="2"/>
        <v>2002-12-27</v>
      </c>
    </row>
    <row r="47" spans="1:7" x14ac:dyDescent="0.25">
      <c r="A47" s="13">
        <v>57573</v>
      </c>
      <c r="B47" s="6" t="s">
        <v>210</v>
      </c>
      <c r="D47" t="str">
        <f t="shared" si="0"/>
        <v>2057/08/16</v>
      </c>
      <c r="E47" t="str" cm="1">
        <f t="array" ref="E47">[1]!BS2AD(D47)</f>
        <v>12/01/2000</v>
      </c>
      <c r="F47" t="str">
        <f t="shared" si="1"/>
        <v>2057-08-16</v>
      </c>
      <c r="G47" t="str">
        <f t="shared" si="2"/>
        <v>2000-12-01</v>
      </c>
    </row>
    <row r="48" spans="1:7" x14ac:dyDescent="0.25">
      <c r="A48" s="6" t="s">
        <v>211</v>
      </c>
      <c r="B48" s="6" t="s">
        <v>212</v>
      </c>
      <c r="D48" t="str">
        <f t="shared" si="0"/>
        <v>2061/01/03</v>
      </c>
      <c r="E48" t="str" cm="1">
        <f t="array" ref="E48">[1]!BS2AD(D48)</f>
        <v>04/15/2004</v>
      </c>
      <c r="F48" t="str">
        <f t="shared" si="1"/>
        <v>2061-01-03</v>
      </c>
      <c r="G48" t="str">
        <f t="shared" si="2"/>
        <v>2004-04-15</v>
      </c>
    </row>
    <row r="49" spans="1:7" x14ac:dyDescent="0.25">
      <c r="A49" s="6" t="s">
        <v>213</v>
      </c>
      <c r="B49" s="6" t="s">
        <v>214</v>
      </c>
      <c r="D49" t="str">
        <f t="shared" si="0"/>
        <v>2062/12/25</v>
      </c>
      <c r="E49" t="str" cm="1">
        <f t="array" ref="E49">[1]!BS2AD(D49)</f>
        <v>04/07/2006</v>
      </c>
      <c r="F49" t="str">
        <f t="shared" si="1"/>
        <v>2062-12-25</v>
      </c>
      <c r="G49" t="str">
        <f t="shared" si="2"/>
        <v>2006-04-07</v>
      </c>
    </row>
    <row r="50" spans="1:7" x14ac:dyDescent="0.25">
      <c r="A50" s="13">
        <v>58664</v>
      </c>
      <c r="B50" s="6" t="s">
        <v>164</v>
      </c>
      <c r="D50" t="str">
        <f t="shared" si="0"/>
        <v>2060/08/11</v>
      </c>
      <c r="E50" t="str" cm="1">
        <f t="array" ref="E50">[1]!BS2AD(D50)</f>
        <v>11/27/2003</v>
      </c>
      <c r="F50" t="str">
        <f t="shared" si="1"/>
        <v>2060-08-11</v>
      </c>
      <c r="G50" t="str">
        <f t="shared" si="2"/>
        <v>2003-11-27</v>
      </c>
    </row>
    <row r="51" spans="1:7" x14ac:dyDescent="0.25">
      <c r="A51" s="6" t="s">
        <v>215</v>
      </c>
      <c r="B51" s="6" t="s">
        <v>216</v>
      </c>
      <c r="D51" t="str">
        <f t="shared" si="0"/>
        <v>2061/01/26</v>
      </c>
      <c r="E51" t="str" cm="1">
        <f t="array" ref="E51">[1]!BS2AD(D51)</f>
        <v>05/08/2004</v>
      </c>
      <c r="F51" t="str">
        <f t="shared" si="1"/>
        <v>2061-01-26</v>
      </c>
      <c r="G51" t="str">
        <f t="shared" si="2"/>
        <v>2004-05-08</v>
      </c>
    </row>
    <row r="52" spans="1:7" x14ac:dyDescent="0.25">
      <c r="A52" s="6" t="s">
        <v>217</v>
      </c>
      <c r="B52" s="6" t="s">
        <v>218</v>
      </c>
      <c r="D52" t="str">
        <f t="shared" si="0"/>
        <v>2061/08/09</v>
      </c>
      <c r="E52" t="str" cm="1">
        <f t="array" ref="E52">[1]!BS2AD(D52)</f>
        <v>11/24/2004</v>
      </c>
      <c r="F52" t="str">
        <f t="shared" si="1"/>
        <v>2061-08-09</v>
      </c>
      <c r="G52" t="str">
        <f t="shared" si="2"/>
        <v>2004-11-24</v>
      </c>
    </row>
    <row r="53" spans="1:7" x14ac:dyDescent="0.25">
      <c r="A53" s="6" t="s">
        <v>219</v>
      </c>
      <c r="B53" s="6" t="s">
        <v>220</v>
      </c>
      <c r="D53" t="str">
        <f t="shared" si="0"/>
        <v>2060/03/28</v>
      </c>
      <c r="E53" t="str" cm="1">
        <f t="array" ref="E53">[1]!BS2AD(D53)</f>
        <v>07/12/2003</v>
      </c>
      <c r="F53" t="str">
        <f t="shared" si="1"/>
        <v>2060-03-28</v>
      </c>
      <c r="G53" t="str">
        <f t="shared" si="2"/>
        <v>2003-07-12</v>
      </c>
    </row>
    <row r="54" spans="1:7" x14ac:dyDescent="0.25">
      <c r="A54" s="6" t="s">
        <v>221</v>
      </c>
      <c r="B54" s="6" t="s">
        <v>222</v>
      </c>
      <c r="D54" t="str">
        <f t="shared" si="0"/>
        <v>2060/11/23</v>
      </c>
      <c r="E54" t="str" cm="1">
        <f t="array" ref="E54">[1]!BS2AD(D54)</f>
        <v>03/06/2004</v>
      </c>
      <c r="F54" t="str">
        <f t="shared" si="1"/>
        <v>2060-11-23</v>
      </c>
      <c r="G54" t="str">
        <f t="shared" si="2"/>
        <v>2004-03-06</v>
      </c>
    </row>
    <row r="55" spans="1:7" x14ac:dyDescent="0.25">
      <c r="A55" s="6" t="s">
        <v>223</v>
      </c>
      <c r="B55" s="6" t="s">
        <v>224</v>
      </c>
      <c r="D55" t="str">
        <f t="shared" si="0"/>
        <v>2062/01/30</v>
      </c>
      <c r="E55" t="str" cm="1">
        <f t="array" ref="E55">[1]!BS2AD(D55)</f>
        <v>05/13/2005</v>
      </c>
      <c r="F55" t="str">
        <f t="shared" si="1"/>
        <v>2062-01-30</v>
      </c>
      <c r="G55" t="str">
        <f t="shared" si="2"/>
        <v>2005-05-13</v>
      </c>
    </row>
    <row r="56" spans="1:7" x14ac:dyDescent="0.25">
      <c r="A56" s="13">
        <v>59311</v>
      </c>
      <c r="B56" s="6" t="s">
        <v>225</v>
      </c>
      <c r="D56" t="str">
        <f t="shared" si="0"/>
        <v>2062/05/20</v>
      </c>
      <c r="E56" t="str" cm="1">
        <f t="array" ref="E56">[1]!BS2AD(D56)</f>
        <v>09/05/2005</v>
      </c>
      <c r="F56" t="str">
        <f t="shared" si="1"/>
        <v>2062-05-20</v>
      </c>
      <c r="G56" t="str">
        <f t="shared" si="2"/>
        <v>2005-09-05</v>
      </c>
    </row>
    <row r="57" spans="1:7" x14ac:dyDescent="0.25">
      <c r="A57" s="6" t="s">
        <v>226</v>
      </c>
      <c r="B57" s="6" t="s">
        <v>227</v>
      </c>
      <c r="D57" t="str">
        <f t="shared" si="0"/>
        <v>2061/03/09</v>
      </c>
      <c r="E57" t="str" cm="1">
        <f t="array" ref="E57">[1]!BS2AD(D57)</f>
        <v>06/23/2004</v>
      </c>
      <c r="F57" t="str">
        <f t="shared" si="1"/>
        <v>2061-03-09</v>
      </c>
      <c r="G57" t="str">
        <f t="shared" si="2"/>
        <v>2004-06-23</v>
      </c>
    </row>
    <row r="58" spans="1:7" x14ac:dyDescent="0.25">
      <c r="A58" s="6" t="s">
        <v>228</v>
      </c>
      <c r="B58" s="6" t="s">
        <v>229</v>
      </c>
      <c r="D58" t="str">
        <f t="shared" si="0"/>
        <v>2059/12/27</v>
      </c>
      <c r="E58" t="str" cm="1">
        <f t="array" ref="E58">[1]!BS2AD(D58)</f>
        <v>04/10/2003</v>
      </c>
      <c r="F58" t="str">
        <f t="shared" si="1"/>
        <v>2059-12-27</v>
      </c>
      <c r="G58" t="str">
        <f t="shared" si="2"/>
        <v>2003-04-10</v>
      </c>
    </row>
    <row r="59" spans="1:7" x14ac:dyDescent="0.25">
      <c r="A59" s="6" t="s">
        <v>230</v>
      </c>
      <c r="B59" s="6" t="s">
        <v>231</v>
      </c>
      <c r="D59" t="str">
        <f t="shared" si="0"/>
        <v>2059/05/19</v>
      </c>
      <c r="E59" t="str" cm="1">
        <f t="array" ref="E59">[1]!BS2AD(D59)</f>
        <v>09/04/2002</v>
      </c>
      <c r="F59" t="str">
        <f t="shared" si="1"/>
        <v>2059-05-19</v>
      </c>
      <c r="G59" t="str">
        <f t="shared" si="2"/>
        <v>2002-09-04</v>
      </c>
    </row>
    <row r="60" spans="1:7" x14ac:dyDescent="0.25">
      <c r="A60" s="6" t="s">
        <v>232</v>
      </c>
      <c r="B60" s="6" t="s">
        <v>233</v>
      </c>
      <c r="D60" t="str">
        <f t="shared" si="0"/>
        <v>2060/03/22</v>
      </c>
      <c r="E60" t="str" cm="1">
        <f t="array" ref="E60">[1]!BS2AD(D60)</f>
        <v>07/06/2003</v>
      </c>
      <c r="F60" t="str">
        <f t="shared" si="1"/>
        <v>2060-03-22</v>
      </c>
      <c r="G60" t="str">
        <f t="shared" si="2"/>
        <v>2003-07-06</v>
      </c>
    </row>
    <row r="61" spans="1:7" x14ac:dyDescent="0.25">
      <c r="A61" s="13">
        <v>59411</v>
      </c>
      <c r="B61" s="6" t="s">
        <v>234</v>
      </c>
      <c r="D61" t="str">
        <f t="shared" si="0"/>
        <v>2062/08/28</v>
      </c>
      <c r="E61" t="str" cm="1">
        <f t="array" ref="E61">[1]!BS2AD(D61)</f>
        <v>12/13/2005</v>
      </c>
      <c r="F61" t="str">
        <f t="shared" si="1"/>
        <v>2062-08-28</v>
      </c>
      <c r="G61" t="str">
        <f t="shared" si="2"/>
        <v>2005-12-13</v>
      </c>
    </row>
    <row r="62" spans="1:7" x14ac:dyDescent="0.25">
      <c r="A62" s="13">
        <v>58749</v>
      </c>
      <c r="B62" s="6" t="s">
        <v>170</v>
      </c>
      <c r="D62" t="str">
        <f t="shared" si="0"/>
        <v>2060/11/04</v>
      </c>
      <c r="E62" t="str" cm="1">
        <f t="array" ref="E62">[1]!BS2AD(D62)</f>
        <v>02/16/2004</v>
      </c>
      <c r="F62" t="str">
        <f t="shared" si="1"/>
        <v>2060-11-04</v>
      </c>
      <c r="G62" t="str">
        <f t="shared" si="2"/>
        <v>2004-02-16</v>
      </c>
    </row>
    <row r="63" spans="1:7" x14ac:dyDescent="0.25">
      <c r="A63" s="6" t="s">
        <v>235</v>
      </c>
      <c r="B63" s="6" t="s">
        <v>236</v>
      </c>
      <c r="D63" t="str">
        <f t="shared" si="0"/>
        <v>2060/03/12</v>
      </c>
      <c r="E63" t="str" cm="1">
        <f t="array" ref="E63">[1]!BS2AD(D63)</f>
        <v>06/26/2003</v>
      </c>
      <c r="F63" t="str">
        <f t="shared" si="1"/>
        <v>2060-03-12</v>
      </c>
      <c r="G63" t="str">
        <f t="shared" si="2"/>
        <v>2003-06-26</v>
      </c>
    </row>
    <row r="64" spans="1:7" x14ac:dyDescent="0.25">
      <c r="A64" s="13">
        <v>58635</v>
      </c>
      <c r="B64" s="6" t="s">
        <v>184</v>
      </c>
      <c r="D64" t="str">
        <f t="shared" si="0"/>
        <v>2060/07/13</v>
      </c>
      <c r="E64" t="str" cm="1">
        <f t="array" ref="E64">[1]!BS2AD(D64)</f>
        <v>10/30/2003</v>
      </c>
      <c r="F64" t="str">
        <f t="shared" si="1"/>
        <v>2060-07-13</v>
      </c>
      <c r="G64" t="str">
        <f t="shared" si="2"/>
        <v>2003-10-30</v>
      </c>
    </row>
    <row r="65" spans="1:7" x14ac:dyDescent="0.25">
      <c r="A65" s="6" t="s">
        <v>237</v>
      </c>
      <c r="B65" s="6" t="s">
        <v>238</v>
      </c>
      <c r="D65" t="str">
        <f t="shared" si="0"/>
        <v>2060/06/28</v>
      </c>
      <c r="E65" t="str" cm="1">
        <f t="array" ref="E65">[1]!BS2AD(D65)</f>
        <v>10/15/2003</v>
      </c>
      <c r="F65" t="str">
        <f t="shared" si="1"/>
        <v>2060-06-28</v>
      </c>
      <c r="G65" t="str">
        <f t="shared" si="2"/>
        <v>2003-10-15</v>
      </c>
    </row>
    <row r="66" spans="1:7" x14ac:dyDescent="0.25">
      <c r="A66" s="6" t="s">
        <v>124</v>
      </c>
      <c r="B66" s="6" t="s">
        <v>125</v>
      </c>
      <c r="D66" t="str">
        <f t="shared" ref="D66:D76" si="3">TEXT(A66,"yyyy/mm/dd")</f>
        <v>2060/01/07</v>
      </c>
      <c r="E66" t="str" cm="1">
        <f t="array" ref="E66">[1]!BS2AD(D66)</f>
        <v>04/20/2003</v>
      </c>
      <c r="F66" t="str">
        <f t="shared" ref="F66:F76" si="4">TEXT(D66,"yyyy-mm-dd")</f>
        <v>2060-01-07</v>
      </c>
      <c r="G66" t="str">
        <f t="shared" ref="G66:G76" si="5">TEXT(E66,"yyyy-mm-dd")</f>
        <v>2003-04-20</v>
      </c>
    </row>
    <row r="67" spans="1:7" x14ac:dyDescent="0.25">
      <c r="A67" s="6" t="s">
        <v>239</v>
      </c>
      <c r="B67" s="6" t="s">
        <v>240</v>
      </c>
      <c r="D67" t="str">
        <f t="shared" si="3"/>
        <v>2059/06/09</v>
      </c>
      <c r="E67" t="str" cm="1">
        <f t="array" ref="E67">[1]!BS2AD(D67)</f>
        <v>09/25/2002</v>
      </c>
      <c r="F67" t="str">
        <f t="shared" si="4"/>
        <v>2059-06-09</v>
      </c>
      <c r="G67" t="str">
        <f t="shared" si="5"/>
        <v>2002-09-25</v>
      </c>
    </row>
    <row r="68" spans="1:7" x14ac:dyDescent="0.25">
      <c r="A68" s="13">
        <v>58629</v>
      </c>
      <c r="B68" s="6" t="s">
        <v>240</v>
      </c>
      <c r="D68" t="str">
        <f t="shared" si="3"/>
        <v>2060/07/07</v>
      </c>
      <c r="E68" t="str" cm="1">
        <f t="array" ref="E68">[1]!BS2AD(D68)</f>
        <v>10/24/2003</v>
      </c>
      <c r="F68" t="str">
        <f t="shared" si="4"/>
        <v>2060-07-07</v>
      </c>
      <c r="G68" t="str">
        <f t="shared" si="5"/>
        <v>2003-10-24</v>
      </c>
    </row>
    <row r="69" spans="1:7" x14ac:dyDescent="0.25">
      <c r="A69" s="13">
        <v>59314</v>
      </c>
      <c r="B69" s="6" t="s">
        <v>241</v>
      </c>
      <c r="D69" t="str">
        <f t="shared" si="3"/>
        <v>2062/05/23</v>
      </c>
      <c r="E69" t="str" cm="1">
        <f t="array" ref="E69">[1]!BS2AD(D69)</f>
        <v>09/08/2005</v>
      </c>
      <c r="F69" t="str">
        <f t="shared" si="4"/>
        <v>2062-05-23</v>
      </c>
      <c r="G69" t="str">
        <f t="shared" si="5"/>
        <v>2005-09-08</v>
      </c>
    </row>
    <row r="70" spans="1:7" x14ac:dyDescent="0.25">
      <c r="A70" s="6" t="s">
        <v>242</v>
      </c>
      <c r="B70" s="6" t="s">
        <v>243</v>
      </c>
      <c r="D70" t="str">
        <f t="shared" si="3"/>
        <v>2058/05/07</v>
      </c>
      <c r="E70" t="str" cm="1">
        <f t="array" ref="E70">[1]!BS2AD(D70)</f>
        <v>08/23/2001</v>
      </c>
      <c r="F70" t="str">
        <f t="shared" si="4"/>
        <v>2058-05-07</v>
      </c>
      <c r="G70" t="str">
        <f t="shared" si="5"/>
        <v>2001-08-23</v>
      </c>
    </row>
    <row r="71" spans="1:7" x14ac:dyDescent="0.25">
      <c r="A71" s="6" t="s">
        <v>244</v>
      </c>
      <c r="B71" s="6" t="s">
        <v>245</v>
      </c>
      <c r="D71" t="str">
        <f t="shared" si="3"/>
        <v>2061/12/05</v>
      </c>
      <c r="E71" t="str" cm="1">
        <f t="array" ref="E71">[1]!BS2AD(D71)</f>
        <v>03/18/2005</v>
      </c>
      <c r="F71" t="str">
        <f t="shared" si="4"/>
        <v>2061-12-05</v>
      </c>
      <c r="G71" t="str">
        <f t="shared" si="5"/>
        <v>2005-03-18</v>
      </c>
    </row>
    <row r="72" spans="1:7" x14ac:dyDescent="0.25">
      <c r="A72" s="6" t="s">
        <v>246</v>
      </c>
      <c r="B72" s="6" t="s">
        <v>247</v>
      </c>
      <c r="D72" t="str">
        <f t="shared" si="3"/>
        <v>2060/10/21</v>
      </c>
      <c r="E72" t="str" cm="1">
        <f t="array" ref="E72">[1]!BS2AD(D72)</f>
        <v>02/04/2004</v>
      </c>
      <c r="F72" t="str">
        <f t="shared" si="4"/>
        <v>2060-10-21</v>
      </c>
      <c r="G72" t="str">
        <f t="shared" si="5"/>
        <v>2004-02-04</v>
      </c>
    </row>
    <row r="73" spans="1:7" x14ac:dyDescent="0.25">
      <c r="A73" s="6" t="s">
        <v>248</v>
      </c>
      <c r="B73" s="6" t="s">
        <v>249</v>
      </c>
      <c r="D73" t="str">
        <f t="shared" si="3"/>
        <v>2061/03/22</v>
      </c>
      <c r="E73" t="str" cm="1">
        <f t="array" ref="E73">[1]!BS2AD(D73)</f>
        <v>07/06/2004</v>
      </c>
      <c r="F73" t="str">
        <f t="shared" si="4"/>
        <v>2061-03-22</v>
      </c>
      <c r="G73" t="str">
        <f t="shared" si="5"/>
        <v>2004-07-06</v>
      </c>
    </row>
    <row r="74" spans="1:7" x14ac:dyDescent="0.25">
      <c r="A74" s="6" t="s">
        <v>250</v>
      </c>
      <c r="B74" s="6" t="s">
        <v>241</v>
      </c>
      <c r="D74" t="str">
        <f t="shared" si="3"/>
        <v>2060/08/23</v>
      </c>
      <c r="E74" t="str" cm="1">
        <f t="array" ref="E74">[1]!BS2AD(D74)</f>
        <v>12/09/2003</v>
      </c>
      <c r="F74" t="str">
        <f t="shared" si="4"/>
        <v>2060-08-23</v>
      </c>
      <c r="G74" t="str">
        <f t="shared" si="5"/>
        <v>2003-12-09</v>
      </c>
    </row>
    <row r="75" spans="1:7" x14ac:dyDescent="0.25">
      <c r="A75" s="6" t="s">
        <v>251</v>
      </c>
      <c r="B75" s="6" t="s">
        <v>252</v>
      </c>
      <c r="D75" t="str">
        <f t="shared" si="3"/>
        <v>2061/11/01</v>
      </c>
      <c r="E75" t="str" cm="1">
        <f t="array" ref="E75">[1]!BS2AD(D75)</f>
        <v>02/12/2005</v>
      </c>
      <c r="F75" t="str">
        <f t="shared" si="4"/>
        <v>2061-11-01</v>
      </c>
      <c r="G75" t="str">
        <f t="shared" si="5"/>
        <v>2005-02-12</v>
      </c>
    </row>
    <row r="76" spans="1:7" x14ac:dyDescent="0.25">
      <c r="A76" s="6" t="s">
        <v>253</v>
      </c>
      <c r="B76" s="6" t="s">
        <v>254</v>
      </c>
      <c r="D76" t="str">
        <f t="shared" si="3"/>
        <v>2060/01/11</v>
      </c>
      <c r="E76" t="str" cm="1">
        <f t="array" ref="E76">[1]!BS2AD(D76)</f>
        <v>04/24/2003</v>
      </c>
      <c r="F76" t="str">
        <f t="shared" si="4"/>
        <v>2060-01-11</v>
      </c>
      <c r="G76" t="str">
        <f t="shared" si="5"/>
        <v>2003-04-24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CE94-AB3A-4021-9C50-6CEB8AE27501}">
  <dimension ref="A1:K79"/>
  <sheetViews>
    <sheetView topLeftCell="A3" workbookViewId="0">
      <selection activeCell="C5" sqref="C5"/>
    </sheetView>
  </sheetViews>
  <sheetFormatPr defaultRowHeight="15" x14ac:dyDescent="0.25"/>
  <cols>
    <col min="2" max="2" width="20.5703125" style="9" customWidth="1"/>
    <col min="3" max="3" width="19.85546875" customWidth="1"/>
    <col min="4" max="5" width="26.85546875" customWidth="1"/>
    <col min="6" max="6" width="12" customWidth="1"/>
    <col min="7" max="7" width="12.140625" customWidth="1"/>
    <col min="8" max="8" width="11.85546875" customWidth="1"/>
    <col min="9" max="9" width="12.140625" customWidth="1"/>
    <col min="10" max="10" width="11" customWidth="1"/>
    <col min="11" max="11" width="11.285156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</v>
      </c>
      <c r="G1" s="4" t="s">
        <v>15</v>
      </c>
      <c r="H1" s="4" t="s">
        <v>23</v>
      </c>
      <c r="I1" s="4" t="s">
        <v>31</v>
      </c>
      <c r="J1" s="4" t="s">
        <v>39</v>
      </c>
      <c r="K1" s="4" t="s">
        <v>46</v>
      </c>
    </row>
    <row r="2" spans="1:11" ht="18.75" x14ac:dyDescent="0.3">
      <c r="A2" s="2">
        <v>2</v>
      </c>
      <c r="B2" s="11">
        <v>783270280001</v>
      </c>
      <c r="C2" s="2">
        <v>12706655</v>
      </c>
      <c r="D2" s="3" t="s">
        <v>55</v>
      </c>
      <c r="E2" s="3" t="s">
        <v>56</v>
      </c>
      <c r="F2" s="4">
        <v>56</v>
      </c>
      <c r="G2" s="4">
        <v>58</v>
      </c>
      <c r="H2" s="4">
        <v>69</v>
      </c>
      <c r="I2" s="4">
        <v>64</v>
      </c>
      <c r="J2" s="5">
        <v>68</v>
      </c>
      <c r="K2" s="4">
        <v>69</v>
      </c>
    </row>
    <row r="3" spans="1:11" ht="18.75" x14ac:dyDescent="0.3">
      <c r="A3" s="2">
        <v>3</v>
      </c>
      <c r="B3" s="11">
        <v>783270280006</v>
      </c>
      <c r="C3" s="2">
        <v>12706660</v>
      </c>
      <c r="D3" s="3" t="s">
        <v>57</v>
      </c>
      <c r="E3" s="3" t="s">
        <v>56</v>
      </c>
      <c r="F3" s="4">
        <v>60</v>
      </c>
      <c r="G3" s="4">
        <v>61</v>
      </c>
      <c r="H3" s="4">
        <v>72</v>
      </c>
      <c r="I3" s="4">
        <v>64</v>
      </c>
      <c r="J3" s="4">
        <v>70</v>
      </c>
      <c r="K3" s="4">
        <v>64</v>
      </c>
    </row>
    <row r="4" spans="1:11" ht="18.75" x14ac:dyDescent="0.3">
      <c r="A4" s="2">
        <v>4</v>
      </c>
      <c r="B4" s="11">
        <v>783270280008</v>
      </c>
      <c r="C4" s="2">
        <v>12706662</v>
      </c>
      <c r="D4" s="3" t="s">
        <v>58</v>
      </c>
      <c r="E4" s="3" t="s">
        <v>56</v>
      </c>
      <c r="F4" s="4">
        <v>56</v>
      </c>
      <c r="G4" s="4">
        <v>57</v>
      </c>
      <c r="H4" s="4">
        <v>54</v>
      </c>
      <c r="I4" s="4">
        <v>60</v>
      </c>
      <c r="J4" s="5">
        <v>57</v>
      </c>
      <c r="K4" s="4">
        <v>64</v>
      </c>
    </row>
    <row r="5" spans="1:11" ht="18.75" x14ac:dyDescent="0.3">
      <c r="A5" s="2">
        <v>5</v>
      </c>
      <c r="B5" s="11">
        <v>783270280015</v>
      </c>
      <c r="C5" s="2">
        <v>12706663</v>
      </c>
      <c r="D5" s="3" t="s">
        <v>59</v>
      </c>
      <c r="E5" s="3" t="s">
        <v>56</v>
      </c>
      <c r="F5" s="4">
        <v>40</v>
      </c>
      <c r="G5" s="4">
        <v>40</v>
      </c>
      <c r="H5" s="4">
        <v>36</v>
      </c>
      <c r="I5" s="4">
        <v>48</v>
      </c>
      <c r="J5" s="5">
        <v>40</v>
      </c>
      <c r="K5" s="4">
        <v>36</v>
      </c>
    </row>
    <row r="6" spans="1:11" ht="18.75" x14ac:dyDescent="0.3">
      <c r="A6" s="2">
        <v>6</v>
      </c>
      <c r="B6" s="11">
        <v>783270280021</v>
      </c>
      <c r="C6" s="2">
        <v>12706675</v>
      </c>
      <c r="D6" s="3" t="s">
        <v>60</v>
      </c>
      <c r="E6" s="3" t="s">
        <v>56</v>
      </c>
      <c r="F6" s="4">
        <v>50</v>
      </c>
      <c r="G6" s="4">
        <v>52</v>
      </c>
      <c r="H6" s="4">
        <v>58</v>
      </c>
      <c r="I6" s="4">
        <v>57</v>
      </c>
      <c r="J6" s="5">
        <v>49</v>
      </c>
      <c r="K6" s="4">
        <v>53</v>
      </c>
    </row>
    <row r="7" spans="1:11" ht="18.75" x14ac:dyDescent="0.3">
      <c r="A7" s="2">
        <v>7</v>
      </c>
      <c r="B7" s="11">
        <v>783270280028</v>
      </c>
      <c r="C7" s="2">
        <v>12706682</v>
      </c>
      <c r="D7" s="3" t="s">
        <v>61</v>
      </c>
      <c r="E7" s="3" t="s">
        <v>56</v>
      </c>
      <c r="F7" s="4">
        <v>54</v>
      </c>
      <c r="G7" s="4">
        <v>40</v>
      </c>
      <c r="H7" s="4">
        <v>55</v>
      </c>
      <c r="I7" s="4">
        <v>50</v>
      </c>
      <c r="J7" s="5">
        <v>50</v>
      </c>
      <c r="K7" s="4">
        <v>54</v>
      </c>
    </row>
    <row r="8" spans="1:11" ht="18.75" x14ac:dyDescent="0.3">
      <c r="A8" s="2">
        <v>8</v>
      </c>
      <c r="B8" s="11">
        <v>783270280033</v>
      </c>
      <c r="C8" s="2">
        <v>12706687</v>
      </c>
      <c r="D8" s="3" t="s">
        <v>255</v>
      </c>
      <c r="E8" s="3" t="s">
        <v>56</v>
      </c>
      <c r="F8" s="4">
        <v>57</v>
      </c>
      <c r="G8" s="4">
        <v>54</v>
      </c>
      <c r="H8" s="4">
        <v>60</v>
      </c>
      <c r="I8" s="4">
        <v>60</v>
      </c>
      <c r="J8" s="4">
        <v>49</v>
      </c>
      <c r="K8" s="4">
        <v>47</v>
      </c>
    </row>
    <row r="9" spans="1:11" ht="18.75" x14ac:dyDescent="0.3">
      <c r="A9" s="2">
        <v>9</v>
      </c>
      <c r="B9" s="11">
        <v>783270280037</v>
      </c>
      <c r="C9" s="2">
        <v>12706691</v>
      </c>
      <c r="D9" s="3" t="s">
        <v>62</v>
      </c>
      <c r="E9" s="3" t="s">
        <v>56</v>
      </c>
      <c r="F9" s="4">
        <v>61</v>
      </c>
      <c r="G9" s="4">
        <v>61</v>
      </c>
      <c r="H9" s="4">
        <v>55</v>
      </c>
      <c r="I9" s="4">
        <v>63</v>
      </c>
      <c r="J9" s="4">
        <v>56</v>
      </c>
      <c r="K9" s="4">
        <v>62</v>
      </c>
    </row>
    <row r="10" spans="1:11" ht="18.75" x14ac:dyDescent="0.3">
      <c r="A10" s="2">
        <v>10</v>
      </c>
      <c r="B10" s="11">
        <v>783270280039</v>
      </c>
      <c r="C10" s="2">
        <v>12706693</v>
      </c>
      <c r="D10" s="3" t="s">
        <v>63</v>
      </c>
      <c r="E10" s="3" t="s">
        <v>56</v>
      </c>
      <c r="F10" s="4">
        <v>42</v>
      </c>
      <c r="G10" s="4">
        <v>36</v>
      </c>
      <c r="H10" s="4">
        <v>50</v>
      </c>
      <c r="I10" s="4">
        <v>40</v>
      </c>
      <c r="J10" s="4">
        <v>36</v>
      </c>
      <c r="K10" s="4">
        <v>36</v>
      </c>
    </row>
    <row r="11" spans="1:11" ht="18.75" x14ac:dyDescent="0.3">
      <c r="A11" s="2">
        <v>11</v>
      </c>
      <c r="B11" s="11">
        <v>783270280040</v>
      </c>
      <c r="C11" s="2">
        <v>12706694</v>
      </c>
      <c r="D11" s="3" t="s">
        <v>64</v>
      </c>
      <c r="E11" s="3" t="s">
        <v>56</v>
      </c>
      <c r="F11" s="4">
        <v>60</v>
      </c>
      <c r="G11" s="4">
        <v>61</v>
      </c>
      <c r="H11" s="4">
        <v>74</v>
      </c>
      <c r="I11" s="4">
        <v>56</v>
      </c>
      <c r="J11" s="4">
        <v>64</v>
      </c>
      <c r="K11" s="4">
        <v>63</v>
      </c>
    </row>
    <row r="12" spans="1:11" ht="18.75" x14ac:dyDescent="0.3">
      <c r="A12" s="2">
        <v>12</v>
      </c>
      <c r="B12" s="11">
        <v>783270280042</v>
      </c>
      <c r="C12" s="2">
        <v>12706696</v>
      </c>
      <c r="D12" s="3" t="s">
        <v>65</v>
      </c>
      <c r="E12" s="3" t="s">
        <v>56</v>
      </c>
      <c r="F12" s="4">
        <v>51</v>
      </c>
      <c r="G12" s="4">
        <v>48</v>
      </c>
      <c r="H12" s="4">
        <v>60</v>
      </c>
      <c r="I12" s="4">
        <v>52</v>
      </c>
      <c r="J12" s="4"/>
      <c r="K12" s="4">
        <v>51</v>
      </c>
    </row>
    <row r="13" spans="1:11" ht="18.75" x14ac:dyDescent="0.3">
      <c r="A13" s="2">
        <v>13</v>
      </c>
      <c r="B13" s="11">
        <v>783270280049</v>
      </c>
      <c r="C13" s="2">
        <v>12706703</v>
      </c>
      <c r="D13" s="3" t="s">
        <v>66</v>
      </c>
      <c r="E13" s="3" t="s">
        <v>56</v>
      </c>
      <c r="F13" s="4">
        <v>51</v>
      </c>
      <c r="G13" s="4">
        <v>63</v>
      </c>
      <c r="H13" s="4">
        <v>74</v>
      </c>
      <c r="I13" s="4">
        <v>64</v>
      </c>
      <c r="J13" s="4">
        <v>73</v>
      </c>
      <c r="K13" s="4">
        <v>70</v>
      </c>
    </row>
    <row r="14" spans="1:11" ht="18.75" x14ac:dyDescent="0.3">
      <c r="A14" s="2">
        <v>14</v>
      </c>
      <c r="B14" s="11">
        <v>783270280055</v>
      </c>
      <c r="C14" s="2">
        <v>12706709</v>
      </c>
      <c r="D14" s="3" t="s">
        <v>67</v>
      </c>
      <c r="E14" s="3" t="s">
        <v>56</v>
      </c>
      <c r="F14" s="4">
        <v>69</v>
      </c>
      <c r="G14" s="4">
        <v>64</v>
      </c>
      <c r="H14" s="4">
        <v>71</v>
      </c>
      <c r="I14" s="4">
        <v>60</v>
      </c>
      <c r="J14" s="4">
        <v>69</v>
      </c>
      <c r="K14" s="4">
        <v>69</v>
      </c>
    </row>
    <row r="15" spans="1:11" ht="18.75" x14ac:dyDescent="0.3">
      <c r="A15" s="2">
        <v>15</v>
      </c>
      <c r="B15" s="11">
        <v>783270280059</v>
      </c>
      <c r="C15" s="2">
        <v>12706713</v>
      </c>
      <c r="D15" s="3" t="s">
        <v>68</v>
      </c>
      <c r="E15" s="3" t="s">
        <v>56</v>
      </c>
      <c r="F15" s="4">
        <v>55</v>
      </c>
      <c r="G15" s="4">
        <v>50</v>
      </c>
      <c r="H15" s="4">
        <v>50</v>
      </c>
      <c r="I15" s="4">
        <v>52</v>
      </c>
      <c r="J15" s="4">
        <v>43</v>
      </c>
      <c r="K15" s="4">
        <v>45</v>
      </c>
    </row>
    <row r="16" spans="1:11" ht="18.75" x14ac:dyDescent="0.3">
      <c r="A16" s="2">
        <v>16</v>
      </c>
      <c r="B16" s="11">
        <v>783270280061</v>
      </c>
      <c r="C16" s="2">
        <v>12706715</v>
      </c>
      <c r="D16" s="3" t="s">
        <v>69</v>
      </c>
      <c r="E16" s="3" t="s">
        <v>56</v>
      </c>
      <c r="F16" s="4">
        <v>57</v>
      </c>
      <c r="G16" s="4">
        <v>54</v>
      </c>
      <c r="H16" s="4">
        <v>58</v>
      </c>
      <c r="I16" s="4">
        <v>62</v>
      </c>
      <c r="J16" s="4">
        <v>52</v>
      </c>
      <c r="K16" s="4">
        <v>58</v>
      </c>
    </row>
    <row r="17" spans="1:11" ht="18.75" x14ac:dyDescent="0.3">
      <c r="A17" s="2">
        <v>17</v>
      </c>
      <c r="B17" s="11">
        <v>783270280062</v>
      </c>
      <c r="C17" s="2">
        <v>12706716</v>
      </c>
      <c r="D17" s="3" t="s">
        <v>70</v>
      </c>
      <c r="E17" s="3" t="s">
        <v>56</v>
      </c>
      <c r="F17" s="4">
        <v>52</v>
      </c>
      <c r="G17" s="4">
        <v>52</v>
      </c>
      <c r="H17" s="4">
        <v>61</v>
      </c>
      <c r="I17" s="4">
        <v>55</v>
      </c>
      <c r="J17" s="4">
        <v>67</v>
      </c>
      <c r="K17" s="4">
        <v>50</v>
      </c>
    </row>
    <row r="18" spans="1:11" ht="18.75" x14ac:dyDescent="0.3">
      <c r="A18" s="2">
        <v>18</v>
      </c>
      <c r="B18" s="11">
        <v>783270280069</v>
      </c>
      <c r="C18" s="2">
        <v>12706723</v>
      </c>
      <c r="D18" s="3" t="s">
        <v>71</v>
      </c>
      <c r="E18" s="3" t="s">
        <v>56</v>
      </c>
      <c r="F18" s="4">
        <v>56</v>
      </c>
      <c r="G18" s="4">
        <v>44</v>
      </c>
      <c r="H18" s="4">
        <v>55</v>
      </c>
      <c r="I18" s="4">
        <v>51</v>
      </c>
      <c r="J18" s="4">
        <v>54</v>
      </c>
      <c r="K18" s="4">
        <v>56</v>
      </c>
    </row>
    <row r="19" spans="1:11" ht="18.75" x14ac:dyDescent="0.3">
      <c r="A19" s="2">
        <v>19</v>
      </c>
      <c r="B19" s="11">
        <v>783270280084</v>
      </c>
      <c r="C19" s="2">
        <v>12706738</v>
      </c>
      <c r="D19" s="3" t="s">
        <v>72</v>
      </c>
      <c r="E19" s="3" t="s">
        <v>56</v>
      </c>
      <c r="F19" s="4">
        <v>45</v>
      </c>
      <c r="G19" s="4">
        <v>46</v>
      </c>
      <c r="H19" s="4">
        <v>45</v>
      </c>
      <c r="I19" s="4">
        <v>42</v>
      </c>
      <c r="J19" s="4">
        <v>42</v>
      </c>
      <c r="K19" s="4">
        <v>36</v>
      </c>
    </row>
    <row r="20" spans="1:11" ht="18.75" x14ac:dyDescent="0.3">
      <c r="A20" s="2">
        <v>20</v>
      </c>
      <c r="B20" s="11">
        <v>783270280086</v>
      </c>
      <c r="C20" s="2">
        <v>12706740</v>
      </c>
      <c r="D20" s="3" t="s">
        <v>73</v>
      </c>
      <c r="E20" s="3" t="s">
        <v>56</v>
      </c>
      <c r="F20" s="4">
        <v>55</v>
      </c>
      <c r="G20" s="4">
        <v>50</v>
      </c>
      <c r="H20" s="4">
        <v>51</v>
      </c>
      <c r="I20" s="4">
        <v>50</v>
      </c>
      <c r="J20" s="4">
        <v>47</v>
      </c>
      <c r="K20" s="4">
        <v>57</v>
      </c>
    </row>
    <row r="21" spans="1:11" ht="18.75" x14ac:dyDescent="0.3">
      <c r="A21" s="2">
        <v>21</v>
      </c>
      <c r="B21" s="11">
        <v>783270280089</v>
      </c>
      <c r="C21" s="2">
        <v>12706743</v>
      </c>
      <c r="D21" s="3" t="s">
        <v>256</v>
      </c>
      <c r="E21" s="3" t="s">
        <v>56</v>
      </c>
      <c r="F21" s="4">
        <v>51</v>
      </c>
      <c r="G21" s="4">
        <v>63</v>
      </c>
      <c r="H21" s="4">
        <v>56</v>
      </c>
      <c r="I21" s="4">
        <v>40</v>
      </c>
      <c r="J21" s="4">
        <v>56</v>
      </c>
      <c r="K21" s="4">
        <v>45</v>
      </c>
    </row>
    <row r="22" spans="1:11" ht="18.75" x14ac:dyDescent="0.3">
      <c r="A22" s="2">
        <v>22</v>
      </c>
      <c r="B22" s="11">
        <v>783270280090</v>
      </c>
      <c r="C22" s="2">
        <v>12706744</v>
      </c>
      <c r="D22" s="3" t="s">
        <v>74</v>
      </c>
      <c r="E22" s="3" t="s">
        <v>56</v>
      </c>
      <c r="F22" s="4">
        <v>49</v>
      </c>
      <c r="G22" s="4">
        <v>48</v>
      </c>
      <c r="H22" s="4">
        <v>62</v>
      </c>
      <c r="I22" s="4">
        <v>56</v>
      </c>
      <c r="J22" s="4">
        <v>54</v>
      </c>
      <c r="K22" s="4">
        <v>49</v>
      </c>
    </row>
    <row r="23" spans="1:11" ht="18.75" x14ac:dyDescent="0.3">
      <c r="A23" s="2">
        <v>23</v>
      </c>
      <c r="B23" s="11">
        <v>783270280093</v>
      </c>
      <c r="C23" s="2">
        <v>12706747</v>
      </c>
      <c r="D23" s="3" t="s">
        <v>75</v>
      </c>
      <c r="E23" s="3" t="s">
        <v>56</v>
      </c>
      <c r="F23" s="4">
        <v>57</v>
      </c>
      <c r="G23" s="4">
        <v>56</v>
      </c>
      <c r="H23" s="4">
        <v>66</v>
      </c>
      <c r="I23" s="4">
        <v>63</v>
      </c>
      <c r="J23" s="4">
        <v>58</v>
      </c>
      <c r="K23" s="4">
        <v>70</v>
      </c>
    </row>
    <row r="24" spans="1:11" ht="18.75" x14ac:dyDescent="0.3">
      <c r="A24" s="2">
        <v>24</v>
      </c>
      <c r="B24" s="11">
        <v>783270280098</v>
      </c>
      <c r="C24" s="2">
        <v>12706752</v>
      </c>
      <c r="D24" s="3" t="s">
        <v>76</v>
      </c>
      <c r="E24" s="3" t="s">
        <v>56</v>
      </c>
      <c r="F24" s="4">
        <v>55</v>
      </c>
      <c r="G24" s="4">
        <v>60</v>
      </c>
      <c r="H24" s="4">
        <v>64</v>
      </c>
      <c r="I24" s="4">
        <v>58</v>
      </c>
      <c r="J24" s="4">
        <v>58</v>
      </c>
      <c r="K24" s="4">
        <v>56</v>
      </c>
    </row>
    <row r="25" spans="1:11" ht="18.75" x14ac:dyDescent="0.3">
      <c r="A25" s="2">
        <v>25</v>
      </c>
      <c r="B25" s="11">
        <v>783270280080</v>
      </c>
      <c r="C25" s="2">
        <v>12706734</v>
      </c>
      <c r="D25" s="3" t="s">
        <v>77</v>
      </c>
      <c r="E25" s="3" t="s">
        <v>56</v>
      </c>
      <c r="F25" s="4">
        <v>54</v>
      </c>
      <c r="G25" s="4">
        <v>58</v>
      </c>
      <c r="H25" s="4">
        <v>62</v>
      </c>
      <c r="I25" s="4">
        <v>63</v>
      </c>
      <c r="J25" s="4">
        <v>68</v>
      </c>
      <c r="K25" s="4">
        <v>61</v>
      </c>
    </row>
    <row r="26" spans="1:11" ht="18.75" x14ac:dyDescent="0.3">
      <c r="A26" s="2">
        <v>26</v>
      </c>
      <c r="B26" s="11">
        <v>783270280041</v>
      </c>
      <c r="C26" s="2">
        <v>12706695</v>
      </c>
      <c r="D26" s="3" t="s">
        <v>78</v>
      </c>
      <c r="E26" s="3" t="s">
        <v>56</v>
      </c>
      <c r="F26" s="4">
        <v>53</v>
      </c>
      <c r="G26" s="4">
        <v>55</v>
      </c>
      <c r="H26" s="4">
        <v>57</v>
      </c>
      <c r="I26" s="4">
        <v>56</v>
      </c>
      <c r="J26" s="4">
        <v>63</v>
      </c>
      <c r="K26" s="4">
        <v>59</v>
      </c>
    </row>
    <row r="27" spans="1:11" ht="18.75" x14ac:dyDescent="0.3">
      <c r="A27" s="2">
        <v>30</v>
      </c>
      <c r="B27" s="11">
        <v>783270280005</v>
      </c>
      <c r="C27" s="2">
        <v>12706659</v>
      </c>
      <c r="D27" s="3" t="s">
        <v>79</v>
      </c>
      <c r="E27" s="3" t="s">
        <v>80</v>
      </c>
      <c r="F27" s="4">
        <v>57</v>
      </c>
      <c r="G27" s="4">
        <v>54</v>
      </c>
      <c r="H27" s="4">
        <v>62</v>
      </c>
      <c r="I27" s="4">
        <v>47</v>
      </c>
      <c r="J27" s="4">
        <v>58</v>
      </c>
      <c r="K27" s="4">
        <v>42</v>
      </c>
    </row>
    <row r="28" spans="1:11" ht="18.75" x14ac:dyDescent="0.3">
      <c r="A28" s="2">
        <v>31</v>
      </c>
      <c r="B28" s="11">
        <v>783270280010</v>
      </c>
      <c r="C28" s="2">
        <v>12706664</v>
      </c>
      <c r="D28" s="3" t="s">
        <v>81</v>
      </c>
      <c r="E28" s="3" t="s">
        <v>80</v>
      </c>
      <c r="F28" s="4">
        <v>59</v>
      </c>
      <c r="G28" s="4">
        <v>50</v>
      </c>
      <c r="H28" s="4">
        <v>60</v>
      </c>
      <c r="I28" s="4">
        <v>52</v>
      </c>
      <c r="J28" s="4">
        <v>62</v>
      </c>
      <c r="K28" s="4">
        <v>40</v>
      </c>
    </row>
    <row r="29" spans="1:11" ht="18.75" x14ac:dyDescent="0.3">
      <c r="A29" s="2">
        <v>32</v>
      </c>
      <c r="B29" s="11">
        <v>783270280016</v>
      </c>
      <c r="C29" s="2">
        <v>12706670</v>
      </c>
      <c r="D29" s="3" t="s">
        <v>82</v>
      </c>
      <c r="E29" s="3" t="s">
        <v>80</v>
      </c>
      <c r="F29" s="4">
        <v>57</v>
      </c>
      <c r="G29" s="4">
        <v>46</v>
      </c>
      <c r="H29" s="4">
        <v>56</v>
      </c>
      <c r="I29" s="4">
        <v>50</v>
      </c>
      <c r="J29" s="4">
        <v>47</v>
      </c>
      <c r="K29" s="4">
        <v>40</v>
      </c>
    </row>
    <row r="30" spans="1:11" ht="18.75" x14ac:dyDescent="0.3">
      <c r="A30" s="2">
        <v>33</v>
      </c>
      <c r="B30" s="11">
        <v>783270280017</v>
      </c>
      <c r="C30" s="2">
        <v>12706671</v>
      </c>
      <c r="D30" s="3" t="s">
        <v>83</v>
      </c>
      <c r="E30" s="3" t="s">
        <v>80</v>
      </c>
      <c r="F30" s="4">
        <v>55</v>
      </c>
      <c r="G30" s="4">
        <v>63</v>
      </c>
      <c r="H30" s="4">
        <v>60</v>
      </c>
      <c r="I30" s="4">
        <v>55</v>
      </c>
      <c r="J30" s="4">
        <v>68</v>
      </c>
      <c r="K30" s="4">
        <v>40</v>
      </c>
    </row>
    <row r="31" spans="1:11" ht="18.75" x14ac:dyDescent="0.3">
      <c r="A31" s="2">
        <v>34</v>
      </c>
      <c r="B31" s="11">
        <v>783270280019</v>
      </c>
      <c r="C31" s="2">
        <v>12706673</v>
      </c>
      <c r="D31" s="3" t="s">
        <v>84</v>
      </c>
      <c r="E31" s="3" t="s">
        <v>80</v>
      </c>
      <c r="F31" s="4">
        <v>50</v>
      </c>
      <c r="G31" s="4">
        <v>55</v>
      </c>
      <c r="H31" s="4">
        <v>65</v>
      </c>
      <c r="I31" s="4">
        <v>55</v>
      </c>
      <c r="J31" s="4">
        <v>44</v>
      </c>
      <c r="K31" s="4">
        <v>42</v>
      </c>
    </row>
    <row r="32" spans="1:11" ht="18.75" x14ac:dyDescent="0.3">
      <c r="A32" s="2">
        <v>35</v>
      </c>
      <c r="B32" s="11">
        <v>783270280020</v>
      </c>
      <c r="C32" s="2">
        <v>12706674</v>
      </c>
      <c r="D32" s="3" t="s">
        <v>85</v>
      </c>
      <c r="E32" s="3" t="s">
        <v>80</v>
      </c>
      <c r="F32" s="4">
        <v>56</v>
      </c>
      <c r="G32" s="4">
        <v>55</v>
      </c>
      <c r="H32" s="4">
        <v>65</v>
      </c>
      <c r="I32" s="4">
        <v>60</v>
      </c>
      <c r="J32" s="4">
        <v>70</v>
      </c>
      <c r="K32" s="4">
        <v>42</v>
      </c>
    </row>
    <row r="33" spans="1:11" ht="18.75" x14ac:dyDescent="0.3">
      <c r="A33" s="2">
        <v>36</v>
      </c>
      <c r="B33" s="11">
        <v>783270280023</v>
      </c>
      <c r="C33" s="2">
        <v>12706677</v>
      </c>
      <c r="D33" s="3" t="s">
        <v>86</v>
      </c>
      <c r="E33" s="3" t="s">
        <v>80</v>
      </c>
      <c r="F33" s="4">
        <v>62</v>
      </c>
      <c r="G33" s="4">
        <v>48</v>
      </c>
      <c r="H33" s="4">
        <v>68</v>
      </c>
      <c r="I33" s="4">
        <v>61</v>
      </c>
      <c r="J33" s="4">
        <v>58</v>
      </c>
      <c r="K33" s="4">
        <v>40</v>
      </c>
    </row>
    <row r="34" spans="1:11" ht="18.75" x14ac:dyDescent="0.3">
      <c r="A34" s="2">
        <v>37</v>
      </c>
      <c r="B34" s="11">
        <v>783270280024</v>
      </c>
      <c r="C34" s="2">
        <v>12706678</v>
      </c>
      <c r="D34" s="3" t="s">
        <v>87</v>
      </c>
      <c r="E34" s="3" t="s">
        <v>80</v>
      </c>
      <c r="F34" s="4">
        <v>54</v>
      </c>
      <c r="G34" s="4">
        <v>60</v>
      </c>
      <c r="H34" s="4">
        <v>64</v>
      </c>
      <c r="I34" s="4">
        <v>52</v>
      </c>
      <c r="J34" s="4">
        <v>62</v>
      </c>
      <c r="K34" s="4">
        <v>36</v>
      </c>
    </row>
    <row r="35" spans="1:11" ht="18.75" x14ac:dyDescent="0.3">
      <c r="A35" s="2">
        <v>38</v>
      </c>
      <c r="B35" s="11">
        <v>783270280043</v>
      </c>
      <c r="C35" s="2">
        <v>12706697</v>
      </c>
      <c r="D35" s="3" t="s">
        <v>88</v>
      </c>
      <c r="E35" s="3" t="s">
        <v>80</v>
      </c>
      <c r="F35" s="4">
        <v>58</v>
      </c>
      <c r="G35" s="4">
        <v>61</v>
      </c>
      <c r="H35" s="4">
        <v>70</v>
      </c>
      <c r="I35" s="4">
        <v>56</v>
      </c>
      <c r="J35" s="4">
        <v>65</v>
      </c>
      <c r="K35" s="4">
        <v>47</v>
      </c>
    </row>
    <row r="36" spans="1:11" ht="18.75" x14ac:dyDescent="0.3">
      <c r="A36" s="2">
        <v>39</v>
      </c>
      <c r="B36" s="11">
        <v>783270280046</v>
      </c>
      <c r="C36" s="2">
        <v>12706700</v>
      </c>
      <c r="D36" s="3" t="s">
        <v>89</v>
      </c>
      <c r="E36" s="3" t="s">
        <v>80</v>
      </c>
      <c r="F36" s="4">
        <v>38</v>
      </c>
      <c r="G36" s="4">
        <v>42</v>
      </c>
      <c r="H36" s="4">
        <v>40</v>
      </c>
      <c r="I36" s="4">
        <v>50</v>
      </c>
      <c r="J36" s="4">
        <v>40</v>
      </c>
      <c r="K36" s="4">
        <v>36</v>
      </c>
    </row>
    <row r="37" spans="1:11" ht="18.75" x14ac:dyDescent="0.3">
      <c r="A37" s="2">
        <v>40</v>
      </c>
      <c r="B37" s="11">
        <v>783270280047</v>
      </c>
      <c r="C37" s="2">
        <v>12706701</v>
      </c>
      <c r="D37" s="3" t="s">
        <v>90</v>
      </c>
      <c r="E37" s="3" t="s">
        <v>80</v>
      </c>
      <c r="F37" s="4">
        <v>46</v>
      </c>
      <c r="G37" s="4">
        <v>51</v>
      </c>
      <c r="H37" s="4">
        <v>58</v>
      </c>
      <c r="I37" s="4">
        <v>36</v>
      </c>
      <c r="J37" s="4">
        <v>44</v>
      </c>
      <c r="K37" s="4">
        <v>40</v>
      </c>
    </row>
    <row r="38" spans="1:11" ht="18.75" x14ac:dyDescent="0.3">
      <c r="A38" s="2">
        <v>41</v>
      </c>
      <c r="B38" s="11">
        <v>783270280048</v>
      </c>
      <c r="C38" s="2">
        <v>12706702</v>
      </c>
      <c r="D38" s="3" t="s">
        <v>91</v>
      </c>
      <c r="E38" s="3" t="s">
        <v>80</v>
      </c>
      <c r="F38" s="4">
        <v>57</v>
      </c>
      <c r="G38" s="4">
        <v>53</v>
      </c>
      <c r="H38" s="4">
        <v>60</v>
      </c>
      <c r="I38" s="4">
        <v>50</v>
      </c>
      <c r="J38" s="4">
        <v>46</v>
      </c>
      <c r="K38" s="4">
        <v>41</v>
      </c>
    </row>
    <row r="39" spans="1:11" ht="18.75" x14ac:dyDescent="0.3">
      <c r="A39" s="2">
        <v>42</v>
      </c>
      <c r="B39" s="11">
        <v>783270280050</v>
      </c>
      <c r="C39" s="2">
        <v>12706704</v>
      </c>
      <c r="D39" s="3" t="s">
        <v>92</v>
      </c>
      <c r="E39" s="3" t="s">
        <v>80</v>
      </c>
      <c r="F39" s="4">
        <v>61</v>
      </c>
      <c r="G39" s="4">
        <v>51</v>
      </c>
      <c r="H39" s="4">
        <v>62</v>
      </c>
      <c r="I39" s="4">
        <v>56</v>
      </c>
      <c r="J39" s="4">
        <v>53</v>
      </c>
      <c r="K39" s="4">
        <v>40</v>
      </c>
    </row>
    <row r="40" spans="1:11" ht="18.75" x14ac:dyDescent="0.3">
      <c r="A40" s="2">
        <v>43</v>
      </c>
      <c r="B40" s="11">
        <v>783270280054</v>
      </c>
      <c r="C40" s="2">
        <v>12706708</v>
      </c>
      <c r="D40" s="3" t="s">
        <v>93</v>
      </c>
      <c r="E40" s="3" t="s">
        <v>80</v>
      </c>
      <c r="F40" s="4">
        <v>56</v>
      </c>
      <c r="G40" s="4">
        <v>60</v>
      </c>
      <c r="H40" s="4">
        <v>67</v>
      </c>
      <c r="I40" s="4">
        <v>43</v>
      </c>
      <c r="J40" s="4">
        <v>54</v>
      </c>
      <c r="K40" s="4">
        <v>41</v>
      </c>
    </row>
    <row r="41" spans="1:11" ht="18.75" x14ac:dyDescent="0.3">
      <c r="A41" s="2">
        <v>44</v>
      </c>
      <c r="B41" s="11">
        <v>783270280056</v>
      </c>
      <c r="C41" s="2">
        <v>12706710</v>
      </c>
      <c r="D41" s="3" t="s">
        <v>94</v>
      </c>
      <c r="E41" s="3" t="s">
        <v>80</v>
      </c>
      <c r="F41" s="4">
        <v>45</v>
      </c>
      <c r="G41" s="4">
        <v>50</v>
      </c>
      <c r="H41" s="4">
        <v>51</v>
      </c>
      <c r="I41" s="4">
        <v>48</v>
      </c>
      <c r="J41" s="4">
        <v>46</v>
      </c>
      <c r="K41" s="4">
        <v>40</v>
      </c>
    </row>
    <row r="42" spans="1:11" ht="18.75" x14ac:dyDescent="0.3">
      <c r="A42" s="2">
        <v>45</v>
      </c>
      <c r="B42" s="11">
        <v>783270280058</v>
      </c>
      <c r="C42" s="2">
        <v>12706712</v>
      </c>
      <c r="D42" s="3" t="s">
        <v>95</v>
      </c>
      <c r="E42" s="3" t="s">
        <v>80</v>
      </c>
      <c r="F42" s="4">
        <v>61</v>
      </c>
      <c r="G42" s="4">
        <v>59</v>
      </c>
      <c r="H42" s="4">
        <v>54</v>
      </c>
      <c r="I42" s="4">
        <v>51</v>
      </c>
      <c r="J42" s="4">
        <v>57</v>
      </c>
      <c r="K42" s="4">
        <v>43</v>
      </c>
    </row>
    <row r="43" spans="1:11" ht="18.75" x14ac:dyDescent="0.3">
      <c r="A43" s="2">
        <v>46</v>
      </c>
      <c r="B43" s="11">
        <v>783270280060</v>
      </c>
      <c r="C43" s="2">
        <v>12706714</v>
      </c>
      <c r="D43" s="3" t="s">
        <v>96</v>
      </c>
      <c r="E43" s="3" t="s">
        <v>80</v>
      </c>
      <c r="F43" s="4">
        <v>60</v>
      </c>
      <c r="G43" s="4">
        <v>58</v>
      </c>
      <c r="H43" s="4">
        <v>69</v>
      </c>
      <c r="I43" s="4">
        <v>58</v>
      </c>
      <c r="J43" s="4">
        <v>65</v>
      </c>
      <c r="K43" s="4">
        <v>40</v>
      </c>
    </row>
    <row r="44" spans="1:11" ht="18.75" x14ac:dyDescent="0.3">
      <c r="A44" s="2">
        <v>47</v>
      </c>
      <c r="B44" s="11">
        <v>783270280064</v>
      </c>
      <c r="C44" s="2">
        <v>12706718</v>
      </c>
      <c r="D44" s="3" t="s">
        <v>97</v>
      </c>
      <c r="E44" s="3" t="s">
        <v>80</v>
      </c>
      <c r="F44" s="4">
        <v>54</v>
      </c>
      <c r="G44" s="4">
        <v>48</v>
      </c>
      <c r="H44" s="4">
        <v>62</v>
      </c>
      <c r="I44" s="4">
        <v>47</v>
      </c>
      <c r="J44" s="4">
        <v>50</v>
      </c>
      <c r="K44" s="4">
        <v>37</v>
      </c>
    </row>
    <row r="45" spans="1:11" ht="18.75" x14ac:dyDescent="0.3">
      <c r="A45" s="2">
        <v>48</v>
      </c>
      <c r="B45" s="11">
        <v>783270280067</v>
      </c>
      <c r="C45" s="2">
        <v>12706721</v>
      </c>
      <c r="D45" s="3" t="s">
        <v>98</v>
      </c>
      <c r="E45" s="3" t="s">
        <v>80</v>
      </c>
      <c r="F45" s="4">
        <v>52</v>
      </c>
      <c r="G45" s="4">
        <v>50</v>
      </c>
      <c r="H45" s="4">
        <v>67</v>
      </c>
      <c r="I45" s="4">
        <v>53</v>
      </c>
      <c r="J45" s="4">
        <v>51</v>
      </c>
      <c r="K45" s="4">
        <v>36</v>
      </c>
    </row>
    <row r="46" spans="1:11" ht="18.75" x14ac:dyDescent="0.3">
      <c r="A46" s="2">
        <v>49</v>
      </c>
      <c r="B46" s="11">
        <v>783270280092</v>
      </c>
      <c r="C46" s="2">
        <v>12706746</v>
      </c>
      <c r="D46" s="3" t="s">
        <v>257</v>
      </c>
      <c r="E46" s="3" t="s">
        <v>80</v>
      </c>
      <c r="F46" s="4">
        <v>40</v>
      </c>
      <c r="G46" s="4">
        <v>50</v>
      </c>
      <c r="H46" s="4">
        <v>59</v>
      </c>
      <c r="I46" s="4">
        <v>50</v>
      </c>
      <c r="J46" s="4">
        <v>64</v>
      </c>
      <c r="K46" s="4">
        <v>40</v>
      </c>
    </row>
    <row r="47" spans="1:11" ht="18.75" x14ac:dyDescent="0.3">
      <c r="A47" s="2">
        <v>50</v>
      </c>
      <c r="B47" s="11">
        <v>783270280076</v>
      </c>
      <c r="C47" s="2">
        <v>12706730</v>
      </c>
      <c r="D47" s="3" t="s">
        <v>99</v>
      </c>
      <c r="E47" s="3" t="s">
        <v>80</v>
      </c>
      <c r="F47" s="4">
        <v>36</v>
      </c>
      <c r="G47" s="4">
        <v>43</v>
      </c>
      <c r="H47" s="4">
        <v>38</v>
      </c>
      <c r="I47" s="4">
        <v>40</v>
      </c>
      <c r="J47" s="4">
        <v>36</v>
      </c>
      <c r="K47" s="4">
        <v>36</v>
      </c>
    </row>
    <row r="48" spans="1:11" ht="18.75" x14ac:dyDescent="0.3">
      <c r="A48" s="2">
        <v>51</v>
      </c>
      <c r="B48" s="11">
        <v>783270280078</v>
      </c>
      <c r="C48" s="2">
        <v>12706732</v>
      </c>
      <c r="D48" s="3" t="s">
        <v>258</v>
      </c>
      <c r="E48" s="3" t="s">
        <v>80</v>
      </c>
      <c r="F48" s="4">
        <v>60</v>
      </c>
      <c r="G48" s="4">
        <v>54</v>
      </c>
      <c r="H48" s="4">
        <v>59</v>
      </c>
      <c r="I48" s="4">
        <v>52</v>
      </c>
      <c r="J48" s="4">
        <v>52</v>
      </c>
      <c r="K48" s="4">
        <v>43</v>
      </c>
    </row>
    <row r="49" spans="1:11" ht="18.75" x14ac:dyDescent="0.3">
      <c r="A49" s="2">
        <v>52</v>
      </c>
      <c r="B49" s="11">
        <v>783270280079</v>
      </c>
      <c r="C49" s="2">
        <v>12706733</v>
      </c>
      <c r="D49" s="3" t="s">
        <v>100</v>
      </c>
      <c r="E49" s="3" t="s">
        <v>80</v>
      </c>
      <c r="F49" s="4">
        <v>58</v>
      </c>
      <c r="G49" s="4">
        <v>61</v>
      </c>
      <c r="H49" s="4">
        <v>71</v>
      </c>
      <c r="I49" s="4">
        <v>63</v>
      </c>
      <c r="J49" s="4">
        <v>71</v>
      </c>
      <c r="K49" s="4">
        <v>43</v>
      </c>
    </row>
    <row r="50" spans="1:11" ht="18.75" x14ac:dyDescent="0.3">
      <c r="A50" s="2">
        <v>53</v>
      </c>
      <c r="B50" s="11">
        <v>783270280085</v>
      </c>
      <c r="C50" s="2">
        <v>12706739</v>
      </c>
      <c r="D50" s="3" t="s">
        <v>101</v>
      </c>
      <c r="E50" s="3" t="s">
        <v>80</v>
      </c>
      <c r="F50" s="4">
        <v>60</v>
      </c>
      <c r="G50" s="4">
        <v>64</v>
      </c>
      <c r="H50" s="4">
        <v>50</v>
      </c>
      <c r="I50" s="4">
        <v>56</v>
      </c>
      <c r="J50" s="4">
        <v>62</v>
      </c>
      <c r="K50" s="4">
        <v>37</v>
      </c>
    </row>
    <row r="51" spans="1:11" ht="18.75" x14ac:dyDescent="0.3">
      <c r="A51" s="2">
        <v>54</v>
      </c>
      <c r="B51" s="11">
        <v>783270280095</v>
      </c>
      <c r="C51" s="2">
        <v>12706749</v>
      </c>
      <c r="D51" s="3" t="s">
        <v>259</v>
      </c>
      <c r="E51" s="3" t="s">
        <v>80</v>
      </c>
      <c r="F51" s="4">
        <v>52</v>
      </c>
      <c r="G51" s="4">
        <v>49</v>
      </c>
      <c r="H51" s="4">
        <v>60</v>
      </c>
      <c r="I51" s="4">
        <v>60</v>
      </c>
      <c r="J51" s="4">
        <v>59</v>
      </c>
      <c r="K51" s="4">
        <v>44</v>
      </c>
    </row>
    <row r="52" spans="1:11" ht="18.75" x14ac:dyDescent="0.3">
      <c r="A52" s="2">
        <v>55</v>
      </c>
      <c r="B52" s="11">
        <v>783270280101</v>
      </c>
      <c r="C52" s="2">
        <v>12706755</v>
      </c>
      <c r="D52" s="3" t="s">
        <v>102</v>
      </c>
      <c r="E52" s="3" t="s">
        <v>80</v>
      </c>
      <c r="F52" s="4">
        <v>61</v>
      </c>
      <c r="G52" s="4">
        <v>48</v>
      </c>
      <c r="H52" s="4">
        <v>67</v>
      </c>
      <c r="I52" s="4">
        <v>50</v>
      </c>
      <c r="J52" s="4">
        <v>65</v>
      </c>
      <c r="K52" s="4">
        <v>40</v>
      </c>
    </row>
    <row r="53" spans="1:11" ht="18.75" x14ac:dyDescent="0.3">
      <c r="A53" s="2">
        <v>56</v>
      </c>
      <c r="B53" s="11">
        <v>783270280011</v>
      </c>
      <c r="C53" s="2">
        <v>12706665</v>
      </c>
      <c r="D53" s="3" t="s">
        <v>103</v>
      </c>
      <c r="E53" s="3" t="s">
        <v>80</v>
      </c>
      <c r="F53" s="4">
        <v>57</v>
      </c>
      <c r="G53" s="4">
        <v>59</v>
      </c>
      <c r="H53" s="4">
        <v>64</v>
      </c>
      <c r="I53" s="4">
        <v>64</v>
      </c>
      <c r="J53" s="4">
        <v>69</v>
      </c>
      <c r="K53" s="4">
        <v>43</v>
      </c>
    </row>
    <row r="54" spans="1:11" ht="18.75" x14ac:dyDescent="0.3">
      <c r="A54" s="2">
        <v>57</v>
      </c>
      <c r="B54" s="11">
        <v>783270280103</v>
      </c>
      <c r="C54" s="2">
        <v>12706757</v>
      </c>
      <c r="D54" s="3" t="s">
        <v>104</v>
      </c>
      <c r="E54" s="3" t="s">
        <v>80</v>
      </c>
      <c r="F54" s="4">
        <v>53</v>
      </c>
      <c r="G54" s="4">
        <v>49</v>
      </c>
      <c r="H54" s="4">
        <v>65</v>
      </c>
      <c r="I54" s="4">
        <v>43</v>
      </c>
      <c r="J54" s="4">
        <v>49</v>
      </c>
      <c r="K54" s="4">
        <v>39</v>
      </c>
    </row>
    <row r="55" spans="1:11" ht="18.75" x14ac:dyDescent="0.3">
      <c r="A55" s="2">
        <v>58</v>
      </c>
      <c r="B55" s="11">
        <v>783270280051</v>
      </c>
      <c r="C55" s="2">
        <v>12706705</v>
      </c>
      <c r="D55" s="3" t="s">
        <v>105</v>
      </c>
      <c r="E55" s="3" t="s">
        <v>80</v>
      </c>
      <c r="F55" s="4">
        <v>59</v>
      </c>
      <c r="G55" s="4">
        <v>62</v>
      </c>
      <c r="H55" s="4">
        <v>65</v>
      </c>
      <c r="I55" s="4">
        <v>58</v>
      </c>
      <c r="J55" s="4">
        <v>64</v>
      </c>
      <c r="K55" s="4">
        <v>41</v>
      </c>
    </row>
    <row r="56" spans="1:11" ht="18.75" x14ac:dyDescent="0.3">
      <c r="A56" s="2">
        <v>60</v>
      </c>
      <c r="B56" s="11">
        <v>783270280004</v>
      </c>
      <c r="C56" s="2">
        <v>12706658</v>
      </c>
      <c r="D56" s="3" t="s">
        <v>106</v>
      </c>
      <c r="E56" s="3" t="s">
        <v>80</v>
      </c>
      <c r="F56" s="4">
        <v>48</v>
      </c>
      <c r="G56" s="4">
        <v>47</v>
      </c>
      <c r="H56" s="4">
        <v>60</v>
      </c>
      <c r="I56" s="4">
        <v>47</v>
      </c>
      <c r="J56" s="4">
        <v>53</v>
      </c>
      <c r="K56" s="4">
        <v>40</v>
      </c>
    </row>
    <row r="57" spans="1:11" ht="18.75" x14ac:dyDescent="0.3">
      <c r="A57" s="2">
        <v>61</v>
      </c>
      <c r="B57" s="11">
        <v>783270280002</v>
      </c>
      <c r="C57" s="2">
        <v>12706656</v>
      </c>
      <c r="D57" s="3" t="s">
        <v>107</v>
      </c>
      <c r="E57" s="3" t="s">
        <v>80</v>
      </c>
      <c r="F57" s="4">
        <v>47</v>
      </c>
      <c r="G57" s="4">
        <v>40</v>
      </c>
      <c r="H57" s="4">
        <v>45</v>
      </c>
      <c r="I57" s="4">
        <v>50</v>
      </c>
      <c r="J57" s="4">
        <v>42</v>
      </c>
      <c r="K57" s="4">
        <v>27</v>
      </c>
    </row>
    <row r="58" spans="1:11" ht="18.75" x14ac:dyDescent="0.3">
      <c r="A58" s="2">
        <v>62</v>
      </c>
      <c r="B58" s="11">
        <v>783270280022</v>
      </c>
      <c r="C58" s="2">
        <v>12706676</v>
      </c>
      <c r="D58" s="3" t="s">
        <v>108</v>
      </c>
      <c r="E58" s="3" t="s">
        <v>80</v>
      </c>
      <c r="F58" s="4">
        <v>55</v>
      </c>
      <c r="G58" s="4">
        <v>63</v>
      </c>
      <c r="H58" s="4">
        <v>74</v>
      </c>
      <c r="I58" s="4">
        <v>66</v>
      </c>
      <c r="J58" s="4">
        <v>71</v>
      </c>
      <c r="K58" s="4">
        <v>45</v>
      </c>
    </row>
    <row r="59" spans="1:11" ht="18.75" x14ac:dyDescent="0.3">
      <c r="A59" s="2">
        <v>63</v>
      </c>
      <c r="B59" s="11">
        <v>783270280057</v>
      </c>
      <c r="C59" s="2">
        <v>12706711</v>
      </c>
      <c r="D59" s="3" t="s">
        <v>109</v>
      </c>
      <c r="E59" s="3" t="s">
        <v>80</v>
      </c>
      <c r="F59" s="4">
        <v>48</v>
      </c>
      <c r="G59" s="4">
        <v>58</v>
      </c>
      <c r="H59" s="4">
        <v>70</v>
      </c>
      <c r="I59" s="4">
        <v>63</v>
      </c>
      <c r="J59" s="4">
        <v>60</v>
      </c>
      <c r="K59" s="4">
        <v>45</v>
      </c>
    </row>
    <row r="60" spans="1:11" ht="18.75" x14ac:dyDescent="0.3">
      <c r="A60" s="2">
        <v>64</v>
      </c>
      <c r="B60" s="11">
        <v>783270280031</v>
      </c>
      <c r="C60" s="2">
        <v>12706685</v>
      </c>
      <c r="D60" s="3" t="s">
        <v>110</v>
      </c>
      <c r="E60" s="3" t="s">
        <v>80</v>
      </c>
      <c r="F60" s="4">
        <v>60</v>
      </c>
      <c r="G60" s="4">
        <v>58</v>
      </c>
      <c r="H60" s="4">
        <v>68</v>
      </c>
      <c r="I60" s="4">
        <v>50</v>
      </c>
      <c r="J60" s="4">
        <v>55</v>
      </c>
      <c r="K60" s="4">
        <v>45</v>
      </c>
    </row>
    <row r="61" spans="1:11" ht="18.75" x14ac:dyDescent="0.3">
      <c r="A61" s="2">
        <v>65</v>
      </c>
      <c r="B61" s="11">
        <v>783270280032</v>
      </c>
      <c r="C61" s="2">
        <v>12706686</v>
      </c>
      <c r="D61" s="3" t="s">
        <v>111</v>
      </c>
      <c r="E61" s="3" t="s">
        <v>80</v>
      </c>
      <c r="F61" s="4">
        <v>59</v>
      </c>
      <c r="G61" s="4">
        <v>48</v>
      </c>
      <c r="H61" s="4">
        <v>52</v>
      </c>
      <c r="I61" s="4">
        <v>54</v>
      </c>
      <c r="J61" s="4">
        <v>54</v>
      </c>
      <c r="K61" s="4">
        <v>38</v>
      </c>
    </row>
    <row r="62" spans="1:11" ht="18.75" x14ac:dyDescent="0.3">
      <c r="A62" s="2">
        <v>66</v>
      </c>
      <c r="B62" s="11">
        <v>783270280036</v>
      </c>
      <c r="C62" s="2">
        <v>12706690</v>
      </c>
      <c r="D62" s="3" t="s">
        <v>260</v>
      </c>
      <c r="E62" s="3" t="s">
        <v>80</v>
      </c>
      <c r="F62" s="4">
        <v>50</v>
      </c>
      <c r="G62" s="5">
        <v>57</v>
      </c>
      <c r="H62" s="4">
        <v>60</v>
      </c>
      <c r="I62" s="4">
        <v>60</v>
      </c>
      <c r="J62" s="4">
        <v>63</v>
      </c>
      <c r="K62" s="4">
        <v>43</v>
      </c>
    </row>
    <row r="63" spans="1:11" ht="18.75" x14ac:dyDescent="0.3">
      <c r="A63" s="2">
        <v>68</v>
      </c>
      <c r="B63" s="11">
        <v>783270280027</v>
      </c>
      <c r="C63" s="2">
        <v>12706681</v>
      </c>
      <c r="D63" s="3" t="s">
        <v>261</v>
      </c>
      <c r="E63" s="3" t="s">
        <v>80</v>
      </c>
      <c r="F63" s="4">
        <v>44</v>
      </c>
      <c r="G63" s="4">
        <v>51</v>
      </c>
      <c r="H63" s="4">
        <v>52</v>
      </c>
      <c r="I63" s="4">
        <v>55</v>
      </c>
      <c r="J63" s="4">
        <v>47</v>
      </c>
      <c r="K63" s="4">
        <v>40</v>
      </c>
    </row>
    <row r="64" spans="1:11" ht="18.75" x14ac:dyDescent="0.3">
      <c r="A64" s="2">
        <v>69</v>
      </c>
      <c r="B64" s="11">
        <v>783270280045</v>
      </c>
      <c r="C64" s="2">
        <v>12706699</v>
      </c>
      <c r="D64" s="3" t="s">
        <v>112</v>
      </c>
      <c r="E64" s="3" t="s">
        <v>80</v>
      </c>
      <c r="F64" s="4">
        <v>59</v>
      </c>
      <c r="G64" s="4">
        <v>49</v>
      </c>
      <c r="H64" s="4">
        <v>65</v>
      </c>
      <c r="I64" s="4">
        <v>54</v>
      </c>
      <c r="J64" s="4">
        <v>55</v>
      </c>
      <c r="K64" s="4">
        <v>43</v>
      </c>
    </row>
    <row r="65" spans="1:11" ht="18.75" x14ac:dyDescent="0.3">
      <c r="A65" s="2">
        <v>70</v>
      </c>
      <c r="B65" s="11">
        <v>783270280024</v>
      </c>
      <c r="C65" s="2">
        <v>12706678</v>
      </c>
      <c r="D65" s="3" t="s">
        <v>262</v>
      </c>
      <c r="E65" s="3" t="s">
        <v>80</v>
      </c>
      <c r="F65" s="4">
        <v>60</v>
      </c>
      <c r="G65" s="4">
        <v>52</v>
      </c>
      <c r="H65" s="4">
        <v>52</v>
      </c>
      <c r="I65" s="4">
        <v>48</v>
      </c>
      <c r="J65" s="4">
        <v>61</v>
      </c>
      <c r="K65" s="4">
        <v>40</v>
      </c>
    </row>
    <row r="66" spans="1:11" ht="18.75" x14ac:dyDescent="0.3">
      <c r="A66" s="2">
        <v>71</v>
      </c>
      <c r="B66" s="11">
        <v>783270280065</v>
      </c>
      <c r="C66" s="2">
        <v>12706719</v>
      </c>
      <c r="D66" s="3" t="s">
        <v>113</v>
      </c>
      <c r="E66" s="3" t="s">
        <v>80</v>
      </c>
      <c r="F66" s="4">
        <v>48</v>
      </c>
      <c r="G66" s="4">
        <v>49</v>
      </c>
      <c r="H66" s="4">
        <v>62</v>
      </c>
      <c r="I66" s="4">
        <v>43</v>
      </c>
      <c r="J66" s="4">
        <v>41</v>
      </c>
      <c r="K66" s="4">
        <v>42</v>
      </c>
    </row>
    <row r="67" spans="1:11" ht="18.75" x14ac:dyDescent="0.3">
      <c r="A67" s="2">
        <v>72</v>
      </c>
      <c r="B67" s="11">
        <v>783270280066</v>
      </c>
      <c r="C67" s="2">
        <v>12706720</v>
      </c>
      <c r="D67" s="3" t="s">
        <v>114</v>
      </c>
      <c r="E67" s="3" t="s">
        <v>80</v>
      </c>
      <c r="F67" s="4">
        <v>46</v>
      </c>
      <c r="G67" s="4">
        <v>49</v>
      </c>
      <c r="H67" s="4">
        <v>51</v>
      </c>
      <c r="I67" s="4">
        <v>50</v>
      </c>
      <c r="J67" s="4">
        <v>53</v>
      </c>
      <c r="K67" s="4">
        <v>38</v>
      </c>
    </row>
    <row r="68" spans="1:11" ht="18.75" x14ac:dyDescent="0.3">
      <c r="A68" s="2">
        <v>73</v>
      </c>
      <c r="B68" s="11">
        <v>783270280072</v>
      </c>
      <c r="C68" s="2">
        <v>12706726</v>
      </c>
      <c r="D68" s="3" t="s">
        <v>115</v>
      </c>
      <c r="E68" s="3" t="s">
        <v>80</v>
      </c>
      <c r="F68" s="4">
        <v>46</v>
      </c>
      <c r="G68" s="4">
        <v>52</v>
      </c>
      <c r="H68" s="4">
        <v>55</v>
      </c>
      <c r="I68" s="4">
        <v>48</v>
      </c>
      <c r="J68" s="4">
        <v>58</v>
      </c>
      <c r="K68" s="4">
        <v>40</v>
      </c>
    </row>
    <row r="69" spans="1:11" ht="18.75" x14ac:dyDescent="0.3">
      <c r="A69" s="2">
        <v>74</v>
      </c>
      <c r="B69" s="11">
        <v>783270280071</v>
      </c>
      <c r="C69" s="2">
        <v>12706725</v>
      </c>
      <c r="D69" s="3" t="s">
        <v>116</v>
      </c>
      <c r="E69" s="3" t="s">
        <v>80</v>
      </c>
      <c r="F69" s="4">
        <v>51</v>
      </c>
      <c r="G69" s="4">
        <v>46</v>
      </c>
      <c r="H69" s="4">
        <v>62</v>
      </c>
      <c r="I69" s="4">
        <v>55</v>
      </c>
      <c r="J69" s="4">
        <v>61</v>
      </c>
      <c r="K69" s="4">
        <v>43</v>
      </c>
    </row>
    <row r="70" spans="1:11" ht="18.75" x14ac:dyDescent="0.3">
      <c r="A70" s="2">
        <v>75</v>
      </c>
      <c r="B70" s="11">
        <v>783270280073</v>
      </c>
      <c r="C70" s="2">
        <v>12706727</v>
      </c>
      <c r="D70" s="3" t="s">
        <v>263</v>
      </c>
      <c r="E70" s="3" t="s">
        <v>80</v>
      </c>
      <c r="F70" s="4"/>
      <c r="G70" s="4"/>
      <c r="H70" s="4"/>
      <c r="I70" s="4">
        <v>48</v>
      </c>
      <c r="J70" s="4"/>
      <c r="K70" s="4"/>
    </row>
    <row r="71" spans="1:11" ht="18.75" x14ac:dyDescent="0.3">
      <c r="A71" s="2">
        <v>76</v>
      </c>
      <c r="B71" s="11">
        <v>783270280081</v>
      </c>
      <c r="C71" s="2">
        <v>12706735</v>
      </c>
      <c r="D71" s="3" t="s">
        <v>117</v>
      </c>
      <c r="E71" s="3" t="s">
        <v>80</v>
      </c>
      <c r="F71" s="4">
        <v>58</v>
      </c>
      <c r="G71" s="4">
        <v>55</v>
      </c>
      <c r="H71" s="4">
        <v>64</v>
      </c>
      <c r="I71" s="4">
        <v>58</v>
      </c>
      <c r="J71" s="4">
        <v>61</v>
      </c>
      <c r="K71" s="4">
        <v>45</v>
      </c>
    </row>
    <row r="72" spans="1:11" ht="18.75" x14ac:dyDescent="0.3">
      <c r="A72" s="2">
        <v>77</v>
      </c>
      <c r="B72" s="11">
        <v>783270280082</v>
      </c>
      <c r="C72" s="2">
        <v>12706736</v>
      </c>
      <c r="D72" s="3" t="s">
        <v>118</v>
      </c>
      <c r="E72" s="3" t="s">
        <v>80</v>
      </c>
      <c r="F72" s="4">
        <v>51</v>
      </c>
      <c r="G72" s="4">
        <v>49</v>
      </c>
      <c r="H72" s="4">
        <v>58</v>
      </c>
      <c r="I72" s="4">
        <v>43</v>
      </c>
      <c r="J72" s="4">
        <v>47</v>
      </c>
      <c r="K72" s="4">
        <v>35</v>
      </c>
    </row>
    <row r="73" spans="1:11" ht="18.75" x14ac:dyDescent="0.3">
      <c r="A73" s="2">
        <v>78</v>
      </c>
      <c r="B73" s="11">
        <v>783270280083</v>
      </c>
      <c r="C73" s="2">
        <v>12706737</v>
      </c>
      <c r="D73" s="3" t="s">
        <v>119</v>
      </c>
      <c r="E73" s="3" t="s">
        <v>80</v>
      </c>
      <c r="F73" s="4">
        <v>44</v>
      </c>
      <c r="G73" s="4">
        <v>52</v>
      </c>
      <c r="H73" s="4">
        <v>48</v>
      </c>
      <c r="I73" s="4">
        <v>43</v>
      </c>
      <c r="J73" s="4">
        <v>43</v>
      </c>
      <c r="K73" s="4">
        <v>40</v>
      </c>
    </row>
    <row r="74" spans="1:11" ht="18.75" x14ac:dyDescent="0.3">
      <c r="A74" s="2">
        <v>79</v>
      </c>
      <c r="B74" s="11">
        <v>783270280094</v>
      </c>
      <c r="C74" s="2">
        <v>12706748</v>
      </c>
      <c r="D74" s="3" t="s">
        <v>120</v>
      </c>
      <c r="E74" s="3" t="s">
        <v>80</v>
      </c>
      <c r="F74" s="4">
        <v>50</v>
      </c>
      <c r="G74" s="4">
        <v>55</v>
      </c>
      <c r="H74" s="4">
        <v>53</v>
      </c>
      <c r="I74" s="4">
        <v>57</v>
      </c>
      <c r="J74" s="4">
        <v>51</v>
      </c>
      <c r="K74" s="4">
        <v>38</v>
      </c>
    </row>
    <row r="75" spans="1:11" ht="18.75" x14ac:dyDescent="0.3">
      <c r="A75" s="2">
        <v>80</v>
      </c>
      <c r="B75" s="11">
        <v>783270280099</v>
      </c>
      <c r="C75" s="2">
        <v>12706753</v>
      </c>
      <c r="D75" s="3" t="s">
        <v>121</v>
      </c>
      <c r="E75" s="3" t="s">
        <v>80</v>
      </c>
      <c r="F75" s="4">
        <v>48</v>
      </c>
      <c r="G75" s="4">
        <v>55</v>
      </c>
      <c r="H75" s="4">
        <v>43</v>
      </c>
      <c r="I75" s="4">
        <v>52</v>
      </c>
      <c r="J75" s="4">
        <v>45</v>
      </c>
      <c r="K75" s="4">
        <v>25</v>
      </c>
    </row>
    <row r="76" spans="1:11" ht="18.75" x14ac:dyDescent="0.3">
      <c r="A76" s="2">
        <v>81</v>
      </c>
      <c r="B76" s="11">
        <v>783270280105</v>
      </c>
      <c r="C76" s="2">
        <v>12706759</v>
      </c>
      <c r="D76" s="3" t="s">
        <v>122</v>
      </c>
      <c r="E76" s="3" t="s">
        <v>80</v>
      </c>
      <c r="F76" s="4">
        <v>40</v>
      </c>
      <c r="G76" s="4">
        <v>36</v>
      </c>
      <c r="H76" s="4">
        <v>36</v>
      </c>
      <c r="I76" s="4">
        <v>37</v>
      </c>
      <c r="J76" s="4">
        <v>36</v>
      </c>
      <c r="K76" s="4">
        <v>27</v>
      </c>
    </row>
    <row r="77" spans="1:11" ht="18.75" x14ac:dyDescent="0.3">
      <c r="A77" s="2">
        <v>82</v>
      </c>
      <c r="B77" s="11">
        <v>783270280068</v>
      </c>
      <c r="C77" s="2">
        <v>12706722</v>
      </c>
      <c r="D77" s="3" t="s">
        <v>123</v>
      </c>
      <c r="E77" s="3" t="s">
        <v>80</v>
      </c>
      <c r="F77" s="4">
        <v>36</v>
      </c>
      <c r="G77" s="4">
        <v>36</v>
      </c>
      <c r="H77" s="4">
        <v>36</v>
      </c>
      <c r="I77" s="4">
        <v>36</v>
      </c>
      <c r="J77" s="4">
        <v>37</v>
      </c>
      <c r="K77" s="4">
        <v>25</v>
      </c>
    </row>
    <row r="78" spans="1:11" x14ac:dyDescent="0.25">
      <c r="B78" s="10"/>
    </row>
    <row r="79" spans="1:11" x14ac:dyDescent="0.25">
      <c r="B7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B06E6E54FDD4DB8AEA057621B6BF0" ma:contentTypeVersion="7" ma:contentTypeDescription="Create a new document." ma:contentTypeScope="" ma:versionID="bb61c2b1eae72ef88b65fcf9f4ea854c">
  <xsd:schema xmlns:xsd="http://www.w3.org/2001/XMLSchema" xmlns:xs="http://www.w3.org/2001/XMLSchema" xmlns:p="http://schemas.microsoft.com/office/2006/metadata/properties" xmlns:ns3="68bf5f69-f657-401f-8d8f-af35f3cca59e" xmlns:ns4="4c13886e-1b81-469f-938b-ebcaf2af3c7c" targetNamespace="http://schemas.microsoft.com/office/2006/metadata/properties" ma:root="true" ma:fieldsID="500f6554394a9865e8454a45f4e71e73" ns3:_="" ns4:_="">
    <xsd:import namespace="68bf5f69-f657-401f-8d8f-af35f3cca59e"/>
    <xsd:import namespace="4c13886e-1b81-469f-938b-ebcaf2af3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f5f69-f657-401f-8d8f-af35f3cca5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886e-1b81-469f-938b-ebcaf2af3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B8F204-44FB-45BB-A8A2-08FB11757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f5f69-f657-401f-8d8f-af35f3cca59e"/>
    <ds:schemaRef ds:uri="4c13886e-1b81-469f-938b-ebcaf2af3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1858AC-A27C-4F2A-8FEC-90C414EEA8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23C1AB-4EC4-4CE9-AFA2-D87390B615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XI Board Management</vt:lpstr>
      <vt:lpstr>Sheet1</vt:lpstr>
      <vt:lpstr>managmentraww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Amir</cp:lastModifiedBy>
  <cp:revision/>
  <dcterms:created xsi:type="dcterms:W3CDTF">2021-12-23T13:31:46Z</dcterms:created>
  <dcterms:modified xsi:type="dcterms:W3CDTF">2022-11-26T07:25:19Z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0x010100E7BB06E6E54FDD4DB8AEA057621B6BF0</vt:lpwstr>
  </property>
</Properties>
</file>