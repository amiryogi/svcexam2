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Board Exam 11(2079)\"/>
    </mc:Choice>
  </mc:AlternateContent>
  <xr:revisionPtr revIDLastSave="0" documentId="13_ncr:1_{A0DD3D4B-694F-44BF-A380-0A94B2F293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I Board Science078 Grade" sheetId="8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31" i="8" l="1" a="1"/>
  <c r="BI31" i="8" s="1"/>
  <c r="BK31" i="8"/>
  <c r="BL31" i="8" s="1" a="1"/>
  <c r="BL31" i="8" s="1"/>
  <c r="BI32" i="8" a="1"/>
  <c r="BI32" i="8" s="1"/>
  <c r="BK32" i="8"/>
  <c r="BL32" i="8" s="1" a="1"/>
  <c r="BL32" i="8" s="1"/>
  <c r="BI33" i="8" a="1"/>
  <c r="BI33" i="8"/>
  <c r="BJ33" i="8" a="1"/>
  <c r="BJ33" i="8" s="1"/>
  <c r="BK33" i="8"/>
  <c r="BL33" i="8" s="1" a="1"/>
  <c r="BL33" i="8" s="1"/>
  <c r="BM33" i="8" a="1"/>
  <c r="BM33" i="8"/>
  <c r="BI34" i="8" a="1"/>
  <c r="BI34" i="8"/>
  <c r="BJ34" i="8" a="1"/>
  <c r="BJ34" i="8"/>
  <c r="BK34" i="8"/>
  <c r="BL34" i="8" a="1"/>
  <c r="BL34" i="8" s="1"/>
  <c r="BM34" i="8" a="1"/>
  <c r="BM34" i="8" s="1"/>
  <c r="BI35" i="8" a="1"/>
  <c r="BI35" i="8" s="1"/>
  <c r="BK35" i="8"/>
  <c r="BL35" i="8" s="1" a="1"/>
  <c r="BL35" i="8" s="1"/>
  <c r="BI36" i="8" a="1"/>
  <c r="BI36" i="8"/>
  <c r="BK36" i="8" s="1"/>
  <c r="BL36" i="8" s="1" a="1"/>
  <c r="BL36" i="8" s="1"/>
  <c r="BM36" i="8" a="1"/>
  <c r="BM36" i="8" s="1"/>
  <c r="BI37" i="8" a="1"/>
  <c r="BI37" i="8" s="1"/>
  <c r="BK37" i="8"/>
  <c r="BL37" i="8" s="1" a="1"/>
  <c r="BL37" i="8" s="1"/>
  <c r="BI38" i="8" a="1"/>
  <c r="BI38" i="8"/>
  <c r="BJ38" i="8" s="1" a="1"/>
  <c r="BJ38" i="8" s="1"/>
  <c r="BK38" i="8"/>
  <c r="BL38" i="8" a="1"/>
  <c r="BL38" i="8" s="1"/>
  <c r="BI39" i="8" a="1"/>
  <c r="BI39" i="8" s="1"/>
  <c r="BK39" i="8"/>
  <c r="BL39" i="8" s="1" a="1"/>
  <c r="BL39" i="8" s="1"/>
  <c r="BF31" i="8" a="1"/>
  <c r="BF31" i="8" s="1"/>
  <c r="BG31" i="8" s="1" a="1"/>
  <c r="BG31" i="8" s="1"/>
  <c r="BF32" i="8" a="1"/>
  <c r="BF32" i="8" s="1"/>
  <c r="BG32" i="8" s="1" a="1"/>
  <c r="BG32" i="8" s="1"/>
  <c r="BF33" i="8" a="1"/>
  <c r="BF33" i="8" s="1"/>
  <c r="BG33" i="8" s="1" a="1"/>
  <c r="BG33" i="8" s="1"/>
  <c r="BF34" i="8" a="1"/>
  <c r="BF34" i="8" s="1"/>
  <c r="BG34" i="8" s="1" a="1"/>
  <c r="BG34" i="8" s="1"/>
  <c r="BF35" i="8" a="1"/>
  <c r="BF35" i="8" s="1"/>
  <c r="BG35" i="8" s="1" a="1"/>
  <c r="BG35" i="8" s="1"/>
  <c r="BF36" i="8" a="1"/>
  <c r="BF36" i="8" s="1"/>
  <c r="BG36" i="8" s="1" a="1"/>
  <c r="BG36" i="8" s="1"/>
  <c r="BF37" i="8" a="1"/>
  <c r="BF37" i="8" s="1"/>
  <c r="BG37" i="8" s="1" a="1"/>
  <c r="BG37" i="8" s="1"/>
  <c r="BF38" i="8" a="1"/>
  <c r="BF38" i="8" s="1"/>
  <c r="BG38" i="8" s="1" a="1"/>
  <c r="BG38" i="8" s="1"/>
  <c r="BF39" i="8" a="1"/>
  <c r="BF39" i="8" s="1"/>
  <c r="BG39" i="8" s="1" a="1"/>
  <c r="BG39" i="8" s="1"/>
  <c r="BA31" i="8" a="1"/>
  <c r="BA31" i="8" s="1"/>
  <c r="BA32" i="8" a="1"/>
  <c r="BA32" i="8" s="1"/>
  <c r="BA33" i="8" a="1"/>
  <c r="BA33" i="8"/>
  <c r="BB33" i="8" s="1" a="1"/>
  <c r="BB33" i="8" s="1"/>
  <c r="BA34" i="8" a="1"/>
  <c r="BA34" i="8"/>
  <c r="BC34" i="8" s="1"/>
  <c r="BD34" i="8" s="1" a="1"/>
  <c r="BD34" i="8" s="1"/>
  <c r="BB34" i="8" a="1"/>
  <c r="BB34" i="8" s="1"/>
  <c r="BA35" i="8" a="1"/>
  <c r="BA35" i="8" s="1"/>
  <c r="BA36" i="8" a="1"/>
  <c r="BA36" i="8" s="1"/>
  <c r="BB36" i="8" s="1" a="1"/>
  <c r="BB36" i="8" s="1"/>
  <c r="BC36" i="8"/>
  <c r="BD36" i="8" s="1" a="1"/>
  <c r="BD36" i="8" s="1"/>
  <c r="BA37" i="8" a="1"/>
  <c r="BA37" i="8"/>
  <c r="BB37" i="8" s="1" a="1"/>
  <c r="BB37" i="8" s="1"/>
  <c r="BA38" i="8" a="1"/>
  <c r="BA38" i="8"/>
  <c r="BC38" i="8" s="1"/>
  <c r="BD38" i="8" s="1" a="1"/>
  <c r="BD38" i="8" s="1"/>
  <c r="BB38" i="8" a="1"/>
  <c r="BB38" i="8" s="1"/>
  <c r="BA39" i="8" a="1"/>
  <c r="BA39" i="8" s="1"/>
  <c r="AX31" i="8" a="1"/>
  <c r="AX31" i="8" s="1"/>
  <c r="AY31" i="8" s="1" a="1"/>
  <c r="AY31" i="8" s="1"/>
  <c r="AX32" i="8" a="1"/>
  <c r="AX32" i="8" s="1"/>
  <c r="AY32" i="8" s="1" a="1"/>
  <c r="AY32" i="8" s="1"/>
  <c r="AX33" i="8" a="1"/>
  <c r="AX33" i="8" s="1"/>
  <c r="AY33" i="8" s="1" a="1"/>
  <c r="AY33" i="8" s="1"/>
  <c r="AX34" i="8" a="1"/>
  <c r="AX34" i="8" s="1"/>
  <c r="AY34" i="8" s="1" a="1"/>
  <c r="AY34" i="8" s="1"/>
  <c r="AX35" i="8" a="1"/>
  <c r="AX35" i="8" s="1"/>
  <c r="AY35" i="8" s="1" a="1"/>
  <c r="AY35" i="8" s="1"/>
  <c r="AX36" i="8" a="1"/>
  <c r="AX36" i="8" s="1"/>
  <c r="AY36" i="8" s="1" a="1"/>
  <c r="AY36" i="8" s="1"/>
  <c r="AX37" i="8" a="1"/>
  <c r="AX37" i="8" s="1"/>
  <c r="AY37" i="8" s="1" a="1"/>
  <c r="AY37" i="8" s="1"/>
  <c r="AX38" i="8" a="1"/>
  <c r="AX38" i="8" s="1"/>
  <c r="AY38" i="8" s="1" a="1"/>
  <c r="AY38" i="8" s="1"/>
  <c r="AX39" i="8" a="1"/>
  <c r="AX39" i="8" s="1"/>
  <c r="AY39" i="8" s="1" a="1"/>
  <c r="AY39" i="8" s="1"/>
  <c r="AR31" i="8" a="1"/>
  <c r="AR31" i="8" s="1"/>
  <c r="AS31" i="8" s="1" a="1"/>
  <c r="AS31" i="8" s="1"/>
  <c r="AR32" i="8" a="1"/>
  <c r="AR32" i="8" s="1"/>
  <c r="AS32" i="8" s="1" a="1"/>
  <c r="AS32" i="8" s="1"/>
  <c r="AR33" i="8" a="1"/>
  <c r="AR33" i="8"/>
  <c r="AS33" i="8" s="1" a="1"/>
  <c r="AS33" i="8" s="1"/>
  <c r="AR34" i="8" a="1"/>
  <c r="AR34" i="8" s="1"/>
  <c r="AS34" i="8" s="1" a="1"/>
  <c r="AS34" i="8" s="1"/>
  <c r="AR35" i="8" a="1"/>
  <c r="AR35" i="8" s="1"/>
  <c r="AS35" i="8" s="1" a="1"/>
  <c r="AS35" i="8" s="1"/>
  <c r="AR36" i="8" a="1"/>
  <c r="AR36" i="8" s="1"/>
  <c r="AS36" i="8" s="1" a="1"/>
  <c r="AS36" i="8" s="1"/>
  <c r="AR37" i="8" a="1"/>
  <c r="AR37" i="8"/>
  <c r="AS37" i="8" s="1" a="1"/>
  <c r="AS37" i="8" s="1"/>
  <c r="AR38" i="8" a="1"/>
  <c r="AR38" i="8" s="1"/>
  <c r="AS38" i="8" s="1" a="1"/>
  <c r="AS38" i="8" s="1"/>
  <c r="AR39" i="8" a="1"/>
  <c r="AR39" i="8" s="1"/>
  <c r="AS39" i="8" s="1" a="1"/>
  <c r="AS39" i="8" s="1"/>
  <c r="AP31" i="8" a="1"/>
  <c r="AP31" i="8" s="1"/>
  <c r="AQ31" i="8" s="1" a="1"/>
  <c r="AQ31" i="8" s="1"/>
  <c r="AP32" i="8" a="1"/>
  <c r="AP32" i="8" s="1"/>
  <c r="AQ32" i="8" s="1" a="1"/>
  <c r="AQ32" i="8" s="1"/>
  <c r="AP33" i="8" a="1"/>
  <c r="AP33" i="8" s="1"/>
  <c r="AQ33" i="8" s="1" a="1"/>
  <c r="AQ33" i="8" s="1"/>
  <c r="AP34" i="8" a="1"/>
  <c r="AP34" i="8" s="1"/>
  <c r="AQ34" i="8" s="1" a="1"/>
  <c r="AQ34" i="8" s="1"/>
  <c r="AP35" i="8" a="1"/>
  <c r="AP35" i="8" s="1"/>
  <c r="AQ35" i="8" s="1" a="1"/>
  <c r="AQ35" i="8" s="1"/>
  <c r="AP36" i="8" a="1"/>
  <c r="AP36" i="8" s="1"/>
  <c r="AQ36" i="8" s="1" a="1"/>
  <c r="AQ36" i="8" s="1"/>
  <c r="AP37" i="8" a="1"/>
  <c r="AP37" i="8" s="1"/>
  <c r="AQ37" i="8" s="1" a="1"/>
  <c r="AQ37" i="8" s="1"/>
  <c r="AP38" i="8" a="1"/>
  <c r="AP38" i="8" s="1"/>
  <c r="AQ38" i="8" s="1" a="1"/>
  <c r="AQ38" i="8" s="1"/>
  <c r="AP39" i="8" a="1"/>
  <c r="AP39" i="8" s="1"/>
  <c r="AQ39" i="8" s="1" a="1"/>
  <c r="AQ39" i="8" s="1"/>
  <c r="AK31" i="8" a="1"/>
  <c r="AK31" i="8" s="1"/>
  <c r="AK32" i="8" a="1"/>
  <c r="AK32" i="8" s="1"/>
  <c r="AK33" i="8" a="1"/>
  <c r="AK33" i="8"/>
  <c r="AL33" i="8" s="1" a="1"/>
  <c r="AL33" i="8" s="1"/>
  <c r="AK34" i="8" a="1"/>
  <c r="AK34" i="8"/>
  <c r="AM34" i="8" s="1"/>
  <c r="AN34" i="8" s="1" a="1"/>
  <c r="AN34" i="8" s="1"/>
  <c r="AL34" i="8" a="1"/>
  <c r="AL34" i="8" s="1"/>
  <c r="AK35" i="8" a="1"/>
  <c r="AK35" i="8" s="1"/>
  <c r="AK36" i="8" a="1"/>
  <c r="AK36" i="8" s="1"/>
  <c r="AK37" i="8" a="1"/>
  <c r="AK37" i="8"/>
  <c r="AL37" i="8" s="1" a="1"/>
  <c r="AL37" i="8" s="1"/>
  <c r="AK38" i="8" a="1"/>
  <c r="AK38" i="8"/>
  <c r="AM38" i="8" s="1"/>
  <c r="AN38" i="8" s="1" a="1"/>
  <c r="AN38" i="8" s="1"/>
  <c r="AL38" i="8" a="1"/>
  <c r="AL38" i="8" s="1"/>
  <c r="AK39" i="8" a="1"/>
  <c r="AK39" i="8" s="1"/>
  <c r="AH31" i="8" a="1"/>
  <c r="AH31" i="8" s="1"/>
  <c r="AI31" i="8" s="1" a="1"/>
  <c r="AI31" i="8" s="1"/>
  <c r="AH32" i="8" a="1"/>
  <c r="AH32" i="8" s="1"/>
  <c r="AI32" i="8" s="1" a="1"/>
  <c r="AI32" i="8" s="1"/>
  <c r="AH33" i="8" a="1"/>
  <c r="AH33" i="8" s="1"/>
  <c r="AI33" i="8" s="1" a="1"/>
  <c r="AI33" i="8" s="1"/>
  <c r="AH34" i="8" a="1"/>
  <c r="AH34" i="8" s="1"/>
  <c r="AI34" i="8" s="1" a="1"/>
  <c r="AI34" i="8" s="1"/>
  <c r="AH35" i="8" a="1"/>
  <c r="AH35" i="8" s="1"/>
  <c r="AI35" i="8" s="1" a="1"/>
  <c r="AI35" i="8" s="1"/>
  <c r="AH36" i="8" a="1"/>
  <c r="AH36" i="8" s="1"/>
  <c r="AI36" i="8" s="1" a="1"/>
  <c r="AI36" i="8" s="1"/>
  <c r="AH37" i="8" a="1"/>
  <c r="AH37" i="8" s="1"/>
  <c r="AI37" i="8" s="1" a="1"/>
  <c r="AI37" i="8" s="1"/>
  <c r="AH38" i="8" a="1"/>
  <c r="AH38" i="8" s="1"/>
  <c r="AI38" i="8" s="1" a="1"/>
  <c r="AI38" i="8" s="1"/>
  <c r="AH39" i="8" a="1"/>
  <c r="AH39" i="8" s="1"/>
  <c r="AI39" i="8" s="1" a="1"/>
  <c r="AI39" i="8" s="1"/>
  <c r="AC31" i="8" a="1"/>
  <c r="AC31" i="8" s="1"/>
  <c r="AC32" i="8" a="1"/>
  <c r="AC32" i="8" s="1"/>
  <c r="AC33" i="8" a="1"/>
  <c r="AC33" i="8"/>
  <c r="AD33" i="8" s="1" a="1"/>
  <c r="AD33" i="8" s="1"/>
  <c r="AC34" i="8" a="1"/>
  <c r="AC34" i="8"/>
  <c r="AE34" i="8" s="1"/>
  <c r="AF34" i="8" s="1" a="1"/>
  <c r="AF34" i="8" s="1"/>
  <c r="AD34" i="8" a="1"/>
  <c r="AD34" i="8" s="1"/>
  <c r="AC35" i="8" a="1"/>
  <c r="AC35" i="8" s="1"/>
  <c r="AC36" i="8" a="1"/>
  <c r="AC36" i="8" s="1"/>
  <c r="AC37" i="8" a="1"/>
  <c r="AC37" i="8"/>
  <c r="AD37" i="8" s="1" a="1"/>
  <c r="AD37" i="8" s="1"/>
  <c r="AC38" i="8" a="1"/>
  <c r="AC38" i="8" s="1"/>
  <c r="AC39" i="8" a="1"/>
  <c r="AC39" i="8" s="1"/>
  <c r="AA31" i="8" a="1"/>
  <c r="AA31" i="8" s="1"/>
  <c r="AA32" i="8" a="1"/>
  <c r="AA32" i="8"/>
  <c r="AA33" i="8" a="1"/>
  <c r="AA33" i="8" s="1"/>
  <c r="AA34" i="8" a="1"/>
  <c r="AA34" i="8"/>
  <c r="AA35" i="8" a="1"/>
  <c r="AA35" i="8" s="1"/>
  <c r="AA36" i="8" a="1"/>
  <c r="AA36" i="8"/>
  <c r="AA37" i="8" a="1"/>
  <c r="AA37" i="8" s="1"/>
  <c r="AA38" i="8" a="1"/>
  <c r="AA38" i="8"/>
  <c r="AA39" i="8" a="1"/>
  <c r="AA39" i="8" s="1"/>
  <c r="Z31" i="8" a="1"/>
  <c r="Z31" i="8" s="1"/>
  <c r="Z32" i="8" a="1"/>
  <c r="Z32" i="8"/>
  <c r="Z33" i="8" a="1"/>
  <c r="Z33" i="8" s="1"/>
  <c r="Z34" i="8" a="1"/>
  <c r="Z34" i="8"/>
  <c r="Z35" i="8" a="1"/>
  <c r="Z35" i="8" s="1"/>
  <c r="Z36" i="8" a="1"/>
  <c r="Z36" i="8"/>
  <c r="Z37" i="8" a="1"/>
  <c r="Z37" i="8" s="1"/>
  <c r="Z38" i="8" a="1"/>
  <c r="Z38" i="8"/>
  <c r="Z39" i="8" a="1"/>
  <c r="Z39" i="8" s="1"/>
  <c r="Z3" i="8" a="1"/>
  <c r="Z3" i="8" s="1"/>
  <c r="Z4" i="8" a="1"/>
  <c r="Z4" i="8"/>
  <c r="Z5" i="8" a="1"/>
  <c r="Z5" i="8" s="1"/>
  <c r="Z6" i="8" a="1"/>
  <c r="Z6" i="8"/>
  <c r="Z7" i="8" a="1"/>
  <c r="Z7" i="8" s="1"/>
  <c r="Z8" i="8" a="1"/>
  <c r="Z8" i="8"/>
  <c r="Z9" i="8" a="1"/>
  <c r="Z9" i="8" s="1"/>
  <c r="Z10" i="8" a="1"/>
  <c r="Z10" i="8"/>
  <c r="Z11" i="8" a="1"/>
  <c r="Z11" i="8" s="1"/>
  <c r="Z12" i="8" a="1"/>
  <c r="Z12" i="8"/>
  <c r="Z13" i="8" a="1"/>
  <c r="Z13" i="8" s="1"/>
  <c r="Z14" i="8" a="1"/>
  <c r="Z14" i="8"/>
  <c r="Z15" i="8" a="1"/>
  <c r="Z15" i="8" s="1"/>
  <c r="Z16" i="8" a="1"/>
  <c r="Z16" i="8"/>
  <c r="Z17" i="8" a="1"/>
  <c r="Z17" i="8" s="1"/>
  <c r="Z18" i="8" a="1"/>
  <c r="Z18" i="8"/>
  <c r="Z19" i="8" a="1"/>
  <c r="Z19" i="8" s="1"/>
  <c r="Z20" i="8" a="1"/>
  <c r="Z20" i="8"/>
  <c r="Z21" i="8" a="1"/>
  <c r="Z21" i="8" s="1"/>
  <c r="Z22" i="8" a="1"/>
  <c r="Z22" i="8"/>
  <c r="Z23" i="8" a="1"/>
  <c r="Z23" i="8" s="1"/>
  <c r="Z24" i="8" a="1"/>
  <c r="Z24" i="8"/>
  <c r="Z25" i="8" a="1"/>
  <c r="Z25" i="8" s="1"/>
  <c r="Z26" i="8" a="1"/>
  <c r="Z26" i="8"/>
  <c r="Z27" i="8" a="1"/>
  <c r="Z27" i="8" s="1"/>
  <c r="Z28" i="8" a="1"/>
  <c r="Z28" i="8"/>
  <c r="Z29" i="8" a="1"/>
  <c r="Z29" i="8" s="1"/>
  <c r="Z30" i="8" a="1"/>
  <c r="Z30" i="8"/>
  <c r="R31" i="8" a="1"/>
  <c r="R31" i="8" s="1"/>
  <c r="T31" i="8" a="1"/>
  <c r="T31" i="8" s="1"/>
  <c r="U31" i="8" s="1" a="1"/>
  <c r="U31" i="8" s="1"/>
  <c r="V31" i="8" s="1" a="1"/>
  <c r="V31" i="8" s="1"/>
  <c r="R32" i="8" a="1"/>
  <c r="R32" i="8" s="1"/>
  <c r="T32" i="8" a="1"/>
  <c r="T32" i="8" s="1"/>
  <c r="U32" i="8" s="1" a="1"/>
  <c r="U32" i="8" s="1"/>
  <c r="V32" i="8" s="1" a="1"/>
  <c r="V32" i="8" s="1"/>
  <c r="R33" i="8" a="1"/>
  <c r="R33" i="8"/>
  <c r="S33" i="8" s="1" a="1"/>
  <c r="S33" i="8" s="1"/>
  <c r="T33" i="8" a="1"/>
  <c r="T33" i="8"/>
  <c r="U33" i="8" s="1" a="1"/>
  <c r="U33" i="8" s="1"/>
  <c r="V33" i="8" s="1" a="1"/>
  <c r="V33" i="8" s="1"/>
  <c r="R34" i="8" a="1"/>
  <c r="R34" i="8" s="1"/>
  <c r="T34" i="8" a="1"/>
  <c r="T34" i="8" s="1"/>
  <c r="U34" i="8" s="1" a="1"/>
  <c r="U34" i="8" s="1"/>
  <c r="V34" i="8" s="1" a="1"/>
  <c r="V34" i="8" s="1"/>
  <c r="R35" i="8" a="1"/>
  <c r="R35" i="8" s="1"/>
  <c r="T35" i="8" a="1"/>
  <c r="T35" i="8" s="1"/>
  <c r="U35" i="8" s="1" a="1"/>
  <c r="U35" i="8" s="1"/>
  <c r="V35" i="8" s="1" a="1"/>
  <c r="V35" i="8" s="1"/>
  <c r="R36" i="8" a="1"/>
  <c r="R36" i="8" s="1"/>
  <c r="T36" i="8" a="1"/>
  <c r="T36" i="8" s="1"/>
  <c r="U36" i="8" s="1" a="1"/>
  <c r="U36" i="8" s="1"/>
  <c r="V36" i="8" s="1" a="1"/>
  <c r="V36" i="8" s="1"/>
  <c r="R37" i="8" a="1"/>
  <c r="R37" i="8"/>
  <c r="S37" i="8" s="1" a="1"/>
  <c r="S37" i="8" s="1"/>
  <c r="T37" i="8" a="1"/>
  <c r="T37" i="8"/>
  <c r="U37" i="8" s="1" a="1"/>
  <c r="U37" i="8" s="1"/>
  <c r="V37" i="8" s="1" a="1"/>
  <c r="V37" i="8" s="1"/>
  <c r="R38" i="8" a="1"/>
  <c r="R38" i="8" s="1"/>
  <c r="T38" i="8" a="1"/>
  <c r="T38" i="8" s="1"/>
  <c r="U38" i="8" s="1" a="1"/>
  <c r="U38" i="8" s="1"/>
  <c r="V38" i="8" s="1" a="1"/>
  <c r="V38" i="8" s="1"/>
  <c r="R39" i="8" a="1"/>
  <c r="R39" i="8" s="1"/>
  <c r="T39" i="8" a="1"/>
  <c r="T39" i="8" s="1"/>
  <c r="U39" i="8" s="1" a="1"/>
  <c r="U39" i="8" s="1"/>
  <c r="V39" i="8" s="1" a="1"/>
  <c r="V39" i="8" s="1"/>
  <c r="N3" i="8" a="1"/>
  <c r="N3" i="8" s="1"/>
  <c r="N11" i="8" a="1"/>
  <c r="N11" i="8" s="1"/>
  <c r="N19" i="8" a="1"/>
  <c r="N19" i="8" s="1"/>
  <c r="N27" i="8" a="1"/>
  <c r="N27" i="8" s="1"/>
  <c r="M31" i="8" a="1"/>
  <c r="M31" i="8" s="1"/>
  <c r="O31" i="8" s="1"/>
  <c r="P31" i="8" s="1" a="1"/>
  <c r="P31" i="8" s="1"/>
  <c r="M32" i="8" a="1"/>
  <c r="M32" i="8" s="1"/>
  <c r="O32" i="8" s="1"/>
  <c r="P32" i="8" s="1" a="1"/>
  <c r="P32" i="8" s="1"/>
  <c r="M33" i="8" a="1"/>
  <c r="M33" i="8" s="1"/>
  <c r="N33" i="8" s="1" a="1"/>
  <c r="N33" i="8" s="1"/>
  <c r="M34" i="8" a="1"/>
  <c r="M34" i="8" s="1"/>
  <c r="M35" i="8" a="1"/>
  <c r="M35" i="8" s="1"/>
  <c r="N35" i="8" s="1" a="1"/>
  <c r="N35" i="8" s="1"/>
  <c r="M36" i="8" a="1"/>
  <c r="M36" i="8" s="1"/>
  <c r="M37" i="8" a="1"/>
  <c r="M37" i="8" s="1"/>
  <c r="O37" i="8" s="1"/>
  <c r="P37" i="8" s="1" a="1"/>
  <c r="P37" i="8" s="1"/>
  <c r="M38" i="8" a="1"/>
  <c r="M38" i="8" s="1"/>
  <c r="M39" i="8" a="1"/>
  <c r="M39" i="8" s="1"/>
  <c r="O39" i="8" s="1"/>
  <c r="P39" i="8" s="1" a="1"/>
  <c r="P39" i="8" s="1"/>
  <c r="M3" i="8" a="1"/>
  <c r="M3" i="8" s="1"/>
  <c r="M4" i="8" a="1"/>
  <c r="M4" i="8" s="1"/>
  <c r="N4" i="8" s="1" a="1"/>
  <c r="N4" i="8" s="1"/>
  <c r="M5" i="8" a="1"/>
  <c r="M5" i="8" s="1"/>
  <c r="N5" i="8" s="1" a="1"/>
  <c r="N5" i="8" s="1"/>
  <c r="M6" i="8" a="1"/>
  <c r="M6" i="8"/>
  <c r="N6" i="8" s="1" a="1"/>
  <c r="N6" i="8" s="1"/>
  <c r="M7" i="8" a="1"/>
  <c r="M7" i="8" s="1"/>
  <c r="N7" i="8" s="1" a="1"/>
  <c r="N7" i="8" s="1"/>
  <c r="M8" i="8" a="1"/>
  <c r="M8" i="8" s="1"/>
  <c r="N8" i="8" s="1" a="1"/>
  <c r="N8" i="8" s="1"/>
  <c r="M9" i="8" a="1"/>
  <c r="M9" i="8" s="1"/>
  <c r="N9" i="8" s="1" a="1"/>
  <c r="N9" i="8" s="1"/>
  <c r="M10" i="8" a="1"/>
  <c r="M10" i="8" s="1"/>
  <c r="N10" i="8" s="1" a="1"/>
  <c r="N10" i="8" s="1"/>
  <c r="M11" i="8" a="1"/>
  <c r="M11" i="8" s="1"/>
  <c r="M12" i="8" a="1"/>
  <c r="M12" i="8" s="1"/>
  <c r="N12" i="8" s="1" a="1"/>
  <c r="N12" i="8" s="1"/>
  <c r="M13" i="8" a="1"/>
  <c r="M13" i="8" s="1"/>
  <c r="N13" i="8" s="1" a="1"/>
  <c r="N13" i="8" s="1"/>
  <c r="M14" i="8" a="1"/>
  <c r="M14" i="8"/>
  <c r="N14" i="8" s="1" a="1"/>
  <c r="N14" i="8" s="1"/>
  <c r="M15" i="8" a="1"/>
  <c r="M15" i="8" s="1"/>
  <c r="N15" i="8" s="1" a="1"/>
  <c r="N15" i="8" s="1"/>
  <c r="M16" i="8" a="1"/>
  <c r="M16" i="8" s="1"/>
  <c r="N16" i="8" s="1" a="1"/>
  <c r="N16" i="8" s="1"/>
  <c r="M17" i="8" a="1"/>
  <c r="M17" i="8" s="1"/>
  <c r="N17" i="8" s="1" a="1"/>
  <c r="N17" i="8" s="1"/>
  <c r="M18" i="8" a="1"/>
  <c r="M18" i="8" s="1"/>
  <c r="N18" i="8" s="1" a="1"/>
  <c r="N18" i="8" s="1"/>
  <c r="M19" i="8" a="1"/>
  <c r="M19" i="8" s="1"/>
  <c r="M20" i="8" a="1"/>
  <c r="M20" i="8" s="1"/>
  <c r="N20" i="8" s="1" a="1"/>
  <c r="N20" i="8" s="1"/>
  <c r="M21" i="8" a="1"/>
  <c r="M21" i="8" s="1"/>
  <c r="N21" i="8" s="1" a="1"/>
  <c r="N21" i="8" s="1"/>
  <c r="M22" i="8" a="1"/>
  <c r="M22" i="8"/>
  <c r="N22" i="8" s="1" a="1"/>
  <c r="N22" i="8" s="1"/>
  <c r="M23" i="8" a="1"/>
  <c r="M23" i="8" s="1"/>
  <c r="N23" i="8" s="1" a="1"/>
  <c r="N23" i="8" s="1"/>
  <c r="M24" i="8" a="1"/>
  <c r="M24" i="8" s="1"/>
  <c r="N24" i="8" s="1" a="1"/>
  <c r="N24" i="8" s="1"/>
  <c r="M25" i="8" a="1"/>
  <c r="M25" i="8" s="1"/>
  <c r="N25" i="8" s="1" a="1"/>
  <c r="N25" i="8" s="1"/>
  <c r="M26" i="8" a="1"/>
  <c r="M26" i="8" s="1"/>
  <c r="N26" i="8" s="1" a="1"/>
  <c r="N26" i="8" s="1"/>
  <c r="M27" i="8" a="1"/>
  <c r="M27" i="8" s="1"/>
  <c r="M28" i="8" a="1"/>
  <c r="M28" i="8" s="1"/>
  <c r="N28" i="8" s="1" a="1"/>
  <c r="N28" i="8" s="1"/>
  <c r="M29" i="8" a="1"/>
  <c r="M29" i="8" s="1"/>
  <c r="N29" i="8" s="1" a="1"/>
  <c r="N29" i="8" s="1"/>
  <c r="M30" i="8" a="1"/>
  <c r="M30" i="8"/>
  <c r="N30" i="8" s="1" a="1"/>
  <c r="N30" i="8" s="1"/>
  <c r="K31" i="8" a="1"/>
  <c r="K31" i="8" s="1"/>
  <c r="K32" i="8" a="1"/>
  <c r="K32" i="8" s="1"/>
  <c r="K33" i="8" a="1"/>
  <c r="K33" i="8" s="1"/>
  <c r="K34" i="8" a="1"/>
  <c r="K34" i="8" s="1"/>
  <c r="K35" i="8" a="1"/>
  <c r="K35" i="8" s="1"/>
  <c r="K36" i="8" a="1"/>
  <c r="K36" i="8"/>
  <c r="K37" i="8" a="1"/>
  <c r="K37" i="8" s="1"/>
  <c r="K38" i="8" a="1"/>
  <c r="K38" i="8" s="1"/>
  <c r="K39" i="8" a="1"/>
  <c r="K39" i="8" s="1"/>
  <c r="K3" i="8" a="1"/>
  <c r="K3" i="8" s="1"/>
  <c r="K4" i="8" a="1"/>
  <c r="K4" i="8" s="1"/>
  <c r="K5" i="8" a="1"/>
  <c r="K5" i="8" s="1"/>
  <c r="K6" i="8" a="1"/>
  <c r="K6" i="8"/>
  <c r="K7" i="8" a="1"/>
  <c r="K7" i="8" s="1"/>
  <c r="K8" i="8" a="1"/>
  <c r="K8" i="8" s="1"/>
  <c r="K9" i="8" a="1"/>
  <c r="K9" i="8" s="1"/>
  <c r="K10" i="8" a="1"/>
  <c r="K10" i="8"/>
  <c r="K11" i="8" a="1"/>
  <c r="K11" i="8" s="1"/>
  <c r="K12" i="8" a="1"/>
  <c r="K12" i="8"/>
  <c r="K13" i="8" a="1"/>
  <c r="K13" i="8" s="1"/>
  <c r="K14" i="8" a="1"/>
  <c r="K14" i="8" s="1"/>
  <c r="K15" i="8" a="1"/>
  <c r="K15" i="8" s="1"/>
  <c r="K16" i="8" a="1"/>
  <c r="K16" i="8" s="1"/>
  <c r="K17" i="8" a="1"/>
  <c r="K17" i="8" s="1"/>
  <c r="K18" i="8" a="1"/>
  <c r="K18" i="8"/>
  <c r="K19" i="8" a="1"/>
  <c r="K19" i="8" s="1"/>
  <c r="K20" i="8" a="1"/>
  <c r="K20" i="8" s="1"/>
  <c r="K21" i="8" a="1"/>
  <c r="K21" i="8" s="1"/>
  <c r="K22" i="8" a="1"/>
  <c r="K22" i="8"/>
  <c r="K23" i="8" a="1"/>
  <c r="K23" i="8" s="1"/>
  <c r="K24" i="8" a="1"/>
  <c r="K24" i="8" s="1"/>
  <c r="K25" i="8" a="1"/>
  <c r="K25" i="8" s="1"/>
  <c r="K26" i="8" a="1"/>
  <c r="K26" i="8" s="1"/>
  <c r="K27" i="8" a="1"/>
  <c r="K27" i="8" s="1"/>
  <c r="K28" i="8" a="1"/>
  <c r="K28" i="8"/>
  <c r="K29" i="8" a="1"/>
  <c r="K29" i="8" s="1"/>
  <c r="K30" i="8" a="1"/>
  <c r="K30" i="8" s="1"/>
  <c r="K2" i="8" a="1"/>
  <c r="K2" i="8" s="1"/>
  <c r="J31" i="8" a="1"/>
  <c r="J31" i="8" s="1"/>
  <c r="J32" i="8" a="1"/>
  <c r="J32" i="8"/>
  <c r="J33" i="8" a="1"/>
  <c r="J33" i="8" s="1"/>
  <c r="J34" i="8" a="1"/>
  <c r="J34" i="8"/>
  <c r="J35" i="8" a="1"/>
  <c r="J35" i="8" s="1"/>
  <c r="J36" i="8" a="1"/>
  <c r="J36" i="8"/>
  <c r="J37" i="8" a="1"/>
  <c r="J37" i="8" s="1"/>
  <c r="J38" i="8" a="1"/>
  <c r="J38" i="8"/>
  <c r="J39" i="8" a="1"/>
  <c r="J39" i="8" s="1"/>
  <c r="J3" i="8" a="1"/>
  <c r="J3" i="8" s="1"/>
  <c r="J4" i="8" a="1"/>
  <c r="J4" i="8"/>
  <c r="J5" i="8" a="1"/>
  <c r="J5" i="8" s="1"/>
  <c r="J6" i="8" a="1"/>
  <c r="J6" i="8"/>
  <c r="J7" i="8" a="1"/>
  <c r="J7" i="8" s="1"/>
  <c r="J8" i="8" a="1"/>
  <c r="J8" i="8"/>
  <c r="J9" i="8" a="1"/>
  <c r="J9" i="8" s="1"/>
  <c r="J10" i="8" a="1"/>
  <c r="J10" i="8"/>
  <c r="J11" i="8" a="1"/>
  <c r="J11" i="8" s="1"/>
  <c r="J12" i="8" a="1"/>
  <c r="J12" i="8"/>
  <c r="J13" i="8" a="1"/>
  <c r="J13" i="8" s="1"/>
  <c r="J14" i="8" a="1"/>
  <c r="J14" i="8"/>
  <c r="J15" i="8" a="1"/>
  <c r="J15" i="8" s="1"/>
  <c r="J16" i="8" a="1"/>
  <c r="J16" i="8"/>
  <c r="J17" i="8" a="1"/>
  <c r="J17" i="8" s="1"/>
  <c r="J18" i="8" a="1"/>
  <c r="J18" i="8"/>
  <c r="J19" i="8" a="1"/>
  <c r="J19" i="8" s="1"/>
  <c r="J20" i="8" a="1"/>
  <c r="J20" i="8"/>
  <c r="J21" i="8" a="1"/>
  <c r="J21" i="8" s="1"/>
  <c r="J22" i="8" a="1"/>
  <c r="J22" i="8"/>
  <c r="J23" i="8" a="1"/>
  <c r="J23" i="8" s="1"/>
  <c r="J24" i="8" a="1"/>
  <c r="J24" i="8"/>
  <c r="J25" i="8" a="1"/>
  <c r="J25" i="8" s="1"/>
  <c r="J26" i="8" a="1"/>
  <c r="J26" i="8"/>
  <c r="J27" i="8" a="1"/>
  <c r="J27" i="8" s="1"/>
  <c r="J28" i="8" a="1"/>
  <c r="J28" i="8"/>
  <c r="J29" i="8" a="1"/>
  <c r="J29" i="8" s="1"/>
  <c r="J30" i="8" a="1"/>
  <c r="J30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2" i="8"/>
  <c r="M2" i="8" a="1"/>
  <c r="M2" i="8" s="1"/>
  <c r="N2" i="8" s="1" a="1"/>
  <c r="N2" i="8" s="1"/>
  <c r="J2" i="8" a="1"/>
  <c r="J2" i="8" s="1"/>
  <c r="H3" i="8" a="1"/>
  <c r="H29" i="8" a="1"/>
  <c r="H24" i="8" a="1"/>
  <c r="H4" i="8" a="1"/>
  <c r="H27" i="8" a="1"/>
  <c r="H7" i="8" a="1"/>
  <c r="H39" i="8" a="1"/>
  <c r="H34" i="8" a="1"/>
  <c r="H28" i="8" a="1"/>
  <c r="H30" i="8" a="1"/>
  <c r="H16" i="8" a="1"/>
  <c r="H38" i="8" a="1"/>
  <c r="H14" i="8" a="1"/>
  <c r="H5" i="8" a="1"/>
  <c r="H37" i="8" a="1"/>
  <c r="H32" i="8" a="1"/>
  <c r="H20" i="8" a="1"/>
  <c r="H6" i="8" a="1"/>
  <c r="H15" i="8" a="1"/>
  <c r="H10" i="8" a="1"/>
  <c r="H17" i="8" a="1"/>
  <c r="H11" i="8" a="1"/>
  <c r="H9" i="8" a="1"/>
  <c r="H25" i="8" a="1"/>
  <c r="H26" i="8" a="1"/>
  <c r="H13" i="8" a="1"/>
  <c r="H8" i="8" a="1"/>
  <c r="H2" i="8" a="1"/>
  <c r="H36" i="8" a="1"/>
  <c r="H22" i="8" a="1"/>
  <c r="H23" i="8" a="1"/>
  <c r="H18" i="8" a="1"/>
  <c r="H33" i="8" a="1"/>
  <c r="H35" i="8" a="1"/>
  <c r="H21" i="8" a="1"/>
  <c r="H19" i="8" a="1"/>
  <c r="H31" i="8" a="1"/>
  <c r="H12" i="8" a="1"/>
  <c r="BM37" i="8" l="1" a="1"/>
  <c r="BM37" i="8" s="1"/>
  <c r="BJ37" i="8" a="1"/>
  <c r="BJ37" i="8" s="1"/>
  <c r="BJ32" i="8" a="1"/>
  <c r="BJ32" i="8" s="1"/>
  <c r="BM32" i="8" a="1"/>
  <c r="BM32" i="8" s="1"/>
  <c r="BJ35" i="8" a="1"/>
  <c r="BJ35" i="8" s="1"/>
  <c r="BM35" i="8" a="1"/>
  <c r="BM35" i="8" s="1"/>
  <c r="BJ39" i="8" a="1"/>
  <c r="BJ39" i="8" s="1"/>
  <c r="BM39" i="8" a="1"/>
  <c r="BM39" i="8" s="1"/>
  <c r="BJ31" i="8" a="1"/>
  <c r="BJ31" i="8" s="1"/>
  <c r="BM31" i="8" a="1"/>
  <c r="BM31" i="8" s="1"/>
  <c r="BJ36" i="8" a="1"/>
  <c r="BJ36" i="8" s="1"/>
  <c r="BM38" i="8" a="1"/>
  <c r="BM38" i="8" s="1"/>
  <c r="BC39" i="8"/>
  <c r="BD39" i="8" s="1" a="1"/>
  <c r="BD39" i="8" s="1"/>
  <c r="BB39" i="8" a="1"/>
  <c r="BB39" i="8" s="1"/>
  <c r="BC35" i="8"/>
  <c r="BD35" i="8" s="1" a="1"/>
  <c r="BD35" i="8" s="1"/>
  <c r="BB35" i="8" a="1"/>
  <c r="BB35" i="8" s="1"/>
  <c r="BB32" i="8" a="1"/>
  <c r="BB32" i="8" s="1"/>
  <c r="BC32" i="8"/>
  <c r="BD32" i="8" s="1" a="1"/>
  <c r="BD32" i="8" s="1"/>
  <c r="BC31" i="8"/>
  <c r="BD31" i="8" s="1" a="1"/>
  <c r="BD31" i="8" s="1"/>
  <c r="BB31" i="8" a="1"/>
  <c r="BB31" i="8" s="1"/>
  <c r="BC37" i="8"/>
  <c r="BD37" i="8" s="1" a="1"/>
  <c r="BD37" i="8" s="1"/>
  <c r="BC33" i="8"/>
  <c r="BD33" i="8" s="1" a="1"/>
  <c r="BD33" i="8" s="1"/>
  <c r="AU33" i="8"/>
  <c r="AV33" i="8" s="1" a="1"/>
  <c r="AV33" i="8" s="1"/>
  <c r="AT33" i="8" a="1"/>
  <c r="AT33" i="8" s="1"/>
  <c r="AT39" i="8" a="1"/>
  <c r="AT39" i="8" s="1"/>
  <c r="AU39" i="8"/>
  <c r="AV39" i="8" s="1" a="1"/>
  <c r="AV39" i="8" s="1"/>
  <c r="AT36" i="8" a="1"/>
  <c r="AT36" i="8" s="1"/>
  <c r="AU36" i="8"/>
  <c r="AV36" i="8" s="1" a="1"/>
  <c r="AV36" i="8" s="1"/>
  <c r="AU38" i="8"/>
  <c r="AV38" i="8" s="1" a="1"/>
  <c r="AV38" i="8" s="1"/>
  <c r="AT38" i="8" a="1"/>
  <c r="AT38" i="8" s="1"/>
  <c r="AT35" i="8" a="1"/>
  <c r="AT35" i="8" s="1"/>
  <c r="AU35" i="8"/>
  <c r="AV35" i="8" s="1" a="1"/>
  <c r="AV35" i="8" s="1"/>
  <c r="AT32" i="8" a="1"/>
  <c r="AT32" i="8" s="1"/>
  <c r="AU32" i="8"/>
  <c r="AV32" i="8" s="1" a="1"/>
  <c r="AV32" i="8" s="1"/>
  <c r="AU37" i="8"/>
  <c r="AV37" i="8" s="1" a="1"/>
  <c r="AV37" i="8" s="1"/>
  <c r="AT37" i="8" a="1"/>
  <c r="AT37" i="8" s="1"/>
  <c r="AU34" i="8"/>
  <c r="AV34" i="8" s="1" a="1"/>
  <c r="AV34" i="8" s="1"/>
  <c r="AT34" i="8" a="1"/>
  <c r="AT34" i="8" s="1"/>
  <c r="AT31" i="8" a="1"/>
  <c r="AT31" i="8" s="1"/>
  <c r="AU31" i="8"/>
  <c r="AV31" i="8" s="1" a="1"/>
  <c r="AV31" i="8" s="1"/>
  <c r="AM39" i="8"/>
  <c r="AN39" i="8" s="1" a="1"/>
  <c r="AN39" i="8" s="1"/>
  <c r="AL39" i="8" a="1"/>
  <c r="AL39" i="8" s="1"/>
  <c r="AM35" i="8"/>
  <c r="AN35" i="8" s="1" a="1"/>
  <c r="AN35" i="8" s="1"/>
  <c r="AL35" i="8" a="1"/>
  <c r="AL35" i="8" s="1"/>
  <c r="AM32" i="8"/>
  <c r="AN32" i="8" s="1" a="1"/>
  <c r="AN32" i="8" s="1"/>
  <c r="AL32" i="8" a="1"/>
  <c r="AL32" i="8" s="1"/>
  <c r="AL36" i="8" a="1"/>
  <c r="AL36" i="8" s="1"/>
  <c r="AM36" i="8"/>
  <c r="AN36" i="8" s="1" a="1"/>
  <c r="AN36" i="8" s="1"/>
  <c r="AM31" i="8"/>
  <c r="AN31" i="8" s="1" a="1"/>
  <c r="AN31" i="8" s="1"/>
  <c r="AL31" i="8" a="1"/>
  <c r="AL31" i="8" s="1"/>
  <c r="AM37" i="8"/>
  <c r="AN37" i="8" s="1" a="1"/>
  <c r="AN37" i="8" s="1"/>
  <c r="AM33" i="8"/>
  <c r="AN33" i="8" s="1" a="1"/>
  <c r="AN33" i="8" s="1"/>
  <c r="AE38" i="8"/>
  <c r="AF38" i="8" s="1" a="1"/>
  <c r="AF38" i="8" s="1"/>
  <c r="AD38" i="8" a="1"/>
  <c r="AD38" i="8" s="1"/>
  <c r="AE35" i="8"/>
  <c r="AF35" i="8" s="1" a="1"/>
  <c r="AF35" i="8" s="1"/>
  <c r="AD35" i="8" a="1"/>
  <c r="AD35" i="8" s="1"/>
  <c r="AE32" i="8"/>
  <c r="AF32" i="8" s="1" a="1"/>
  <c r="AF32" i="8" s="1"/>
  <c r="AD32" i="8" a="1"/>
  <c r="AD32" i="8" s="1"/>
  <c r="AE39" i="8"/>
  <c r="AF39" i="8" s="1" a="1"/>
  <c r="AF39" i="8" s="1"/>
  <c r="AD39" i="8" a="1"/>
  <c r="AD39" i="8" s="1"/>
  <c r="AD36" i="8" a="1"/>
  <c r="AD36" i="8" s="1"/>
  <c r="AE36" i="8"/>
  <c r="AF36" i="8" s="1" a="1"/>
  <c r="AF36" i="8" s="1"/>
  <c r="AE31" i="8"/>
  <c r="AF31" i="8" s="1" a="1"/>
  <c r="AF31" i="8" s="1"/>
  <c r="AD31" i="8" a="1"/>
  <c r="AD31" i="8" s="1"/>
  <c r="AE37" i="8"/>
  <c r="AF37" i="8" s="1" a="1"/>
  <c r="AF37" i="8" s="1"/>
  <c r="AE33" i="8"/>
  <c r="AF33" i="8" s="1" a="1"/>
  <c r="AF33" i="8" s="1"/>
  <c r="S38" i="8" a="1"/>
  <c r="S38" i="8" s="1"/>
  <c r="W38" i="8"/>
  <c r="X38" i="8" s="1" a="1"/>
  <c r="X38" i="8" s="1"/>
  <c r="S35" i="8" a="1"/>
  <c r="S35" i="8" s="1"/>
  <c r="W35" i="8"/>
  <c r="X35" i="8" s="1" a="1"/>
  <c r="X35" i="8" s="1"/>
  <c r="S32" i="8" a="1"/>
  <c r="S32" i="8" s="1"/>
  <c r="W32" i="8"/>
  <c r="X32" i="8" s="1" a="1"/>
  <c r="X32" i="8" s="1"/>
  <c r="S39" i="8" a="1"/>
  <c r="S39" i="8" s="1"/>
  <c r="W39" i="8"/>
  <c r="X39" i="8" s="1" a="1"/>
  <c r="X39" i="8" s="1"/>
  <c r="S36" i="8" a="1"/>
  <c r="S36" i="8" s="1"/>
  <c r="W36" i="8"/>
  <c r="X36" i="8" s="1" a="1"/>
  <c r="X36" i="8" s="1"/>
  <c r="S34" i="8" a="1"/>
  <c r="S34" i="8" s="1"/>
  <c r="W34" i="8"/>
  <c r="X34" i="8" s="1" a="1"/>
  <c r="X34" i="8" s="1"/>
  <c r="S31" i="8" a="1"/>
  <c r="S31" i="8" s="1"/>
  <c r="W31" i="8"/>
  <c r="X31" i="8" s="1" a="1"/>
  <c r="X31" i="8" s="1"/>
  <c r="W37" i="8"/>
  <c r="X37" i="8" s="1" a="1"/>
  <c r="X37" i="8" s="1"/>
  <c r="W33" i="8"/>
  <c r="X33" i="8" s="1" a="1"/>
  <c r="X33" i="8" s="1"/>
  <c r="N37" i="8" a="1"/>
  <c r="N37" i="8" s="1"/>
  <c r="O38" i="8"/>
  <c r="P38" i="8" s="1" a="1"/>
  <c r="P38" i="8" s="1"/>
  <c r="N38" i="8" a="1"/>
  <c r="N38" i="8" s="1"/>
  <c r="O34" i="8"/>
  <c r="P34" i="8" s="1" a="1"/>
  <c r="P34" i="8" s="1"/>
  <c r="N34" i="8" a="1"/>
  <c r="N34" i="8" s="1"/>
  <c r="N36" i="8" a="1"/>
  <c r="N36" i="8" s="1"/>
  <c r="O36" i="8"/>
  <c r="P36" i="8" s="1" a="1"/>
  <c r="P36" i="8" s="1"/>
  <c r="N32" i="8" a="1"/>
  <c r="N32" i="8" s="1"/>
  <c r="O33" i="8"/>
  <c r="P33" i="8" s="1" a="1"/>
  <c r="P33" i="8" s="1"/>
  <c r="N39" i="8" a="1"/>
  <c r="N39" i="8" s="1"/>
  <c r="N31" i="8" a="1"/>
  <c r="N31" i="8" s="1"/>
  <c r="O35" i="8"/>
  <c r="P35" i="8" s="1" a="1"/>
  <c r="P35" i="8" s="1"/>
  <c r="O17" i="8"/>
  <c r="P17" i="8" s="1" a="1"/>
  <c r="P17" i="8" s="1"/>
  <c r="O23" i="8"/>
  <c r="P23" i="8" s="1" a="1"/>
  <c r="P23" i="8" s="1"/>
  <c r="H38" i="8"/>
  <c r="H36" i="8"/>
  <c r="H34" i="8"/>
  <c r="H32" i="8"/>
  <c r="H30" i="8"/>
  <c r="H28" i="8"/>
  <c r="H26" i="8"/>
  <c r="H24" i="8"/>
  <c r="H22" i="8"/>
  <c r="H20" i="8"/>
  <c r="H18" i="8"/>
  <c r="H16" i="8"/>
  <c r="H14" i="8"/>
  <c r="H12" i="8"/>
  <c r="H10" i="8"/>
  <c r="H8" i="8"/>
  <c r="H6" i="8"/>
  <c r="H4" i="8"/>
  <c r="H39" i="8"/>
  <c r="H37" i="8"/>
  <c r="H35" i="8"/>
  <c r="H33" i="8"/>
  <c r="H31" i="8"/>
  <c r="H29" i="8"/>
  <c r="H27" i="8"/>
  <c r="H25" i="8"/>
  <c r="H23" i="8"/>
  <c r="H21" i="8"/>
  <c r="H19" i="8"/>
  <c r="H17" i="8"/>
  <c r="H15" i="8"/>
  <c r="H13" i="8"/>
  <c r="H11" i="8"/>
  <c r="H9" i="8"/>
  <c r="H7" i="8"/>
  <c r="H5" i="8"/>
  <c r="H3" i="8"/>
  <c r="H2" i="8"/>
  <c r="O27" i="8"/>
  <c r="P27" i="8" s="1" a="1"/>
  <c r="P27" i="8" s="1"/>
  <c r="O5" i="8"/>
  <c r="P5" i="8" s="1" a="1"/>
  <c r="P5" i="8" s="1"/>
  <c r="O21" i="8"/>
  <c r="P21" i="8" s="1" a="1"/>
  <c r="P21" i="8" s="1"/>
  <c r="O25" i="8"/>
  <c r="P25" i="8" s="1" a="1"/>
  <c r="P25" i="8" s="1"/>
  <c r="O29" i="8"/>
  <c r="P29" i="8" s="1" a="1"/>
  <c r="P29" i="8" s="1"/>
  <c r="O7" i="8"/>
  <c r="P7" i="8" s="1" a="1"/>
  <c r="P7" i="8" s="1"/>
  <c r="O9" i="8"/>
  <c r="P9" i="8" s="1" a="1"/>
  <c r="P9" i="8" s="1"/>
  <c r="O14" i="8"/>
  <c r="P14" i="8" s="1" a="1"/>
  <c r="P14" i="8" s="1"/>
  <c r="O16" i="8"/>
  <c r="P16" i="8" s="1" a="1"/>
  <c r="P16" i="8" s="1"/>
  <c r="O3" i="8"/>
  <c r="P3" i="8" s="1" a="1"/>
  <c r="P3" i="8" s="1"/>
  <c r="O19" i="8"/>
  <c r="P19" i="8" s="1" a="1"/>
  <c r="P19" i="8" s="1"/>
  <c r="O2" i="8"/>
  <c r="P2" i="8" s="1" a="1"/>
  <c r="P2" i="8" s="1"/>
  <c r="O4" i="8"/>
  <c r="P4" i="8" s="1" a="1"/>
  <c r="P4" i="8" s="1"/>
  <c r="O11" i="8"/>
  <c r="P11" i="8" s="1" a="1"/>
  <c r="P11" i="8" s="1"/>
  <c r="O13" i="8"/>
  <c r="P13" i="8" s="1" a="1"/>
  <c r="P13" i="8" s="1"/>
  <c r="O18" i="8"/>
  <c r="P18" i="8" s="1" a="1"/>
  <c r="P18" i="8" s="1"/>
  <c r="O20" i="8"/>
  <c r="P20" i="8" s="1" a="1"/>
  <c r="P20" i="8" s="1"/>
  <c r="O24" i="8"/>
  <c r="P24" i="8" s="1" a="1"/>
  <c r="P24" i="8" s="1"/>
  <c r="O28" i="8"/>
  <c r="P28" i="8" s="1" a="1"/>
  <c r="P28" i="8" s="1"/>
  <c r="O6" i="8"/>
  <c r="P6" i="8" s="1" a="1"/>
  <c r="P6" i="8" s="1"/>
  <c r="O8" i="8"/>
  <c r="P8" i="8" s="1" a="1"/>
  <c r="P8" i="8" s="1"/>
  <c r="O15" i="8"/>
  <c r="P15" i="8" s="1" a="1"/>
  <c r="P15" i="8" s="1"/>
  <c r="O22" i="8"/>
  <c r="P22" i="8" s="1" a="1"/>
  <c r="P22" i="8" s="1"/>
  <c r="O26" i="8"/>
  <c r="P26" i="8" s="1" a="1"/>
  <c r="P26" i="8" s="1"/>
  <c r="O30" i="8"/>
  <c r="P30" i="8" s="1" a="1"/>
  <c r="P30" i="8" s="1"/>
  <c r="O10" i="8"/>
  <c r="P10" i="8" s="1" a="1"/>
  <c r="P10" i="8" s="1"/>
  <c r="O12" i="8"/>
  <c r="P12" i="8" s="1" a="1"/>
  <c r="P12" i="8" s="1"/>
  <c r="R3" i="8" l="1" a="1"/>
  <c r="R3" i="8" s="1"/>
  <c r="T3" i="8" a="1"/>
  <c r="T3" i="8" s="1"/>
  <c r="U3" i="8" s="1" a="1"/>
  <c r="U3" i="8" s="1"/>
  <c r="V3" i="8" s="1" a="1"/>
  <c r="V3" i="8" s="1"/>
  <c r="AC3" i="8" a="1"/>
  <c r="AC3" i="8" s="1"/>
  <c r="AD3" i="8" s="1" a="1"/>
  <c r="AD3" i="8" s="1"/>
  <c r="AH3" i="8" a="1"/>
  <c r="AH3" i="8" s="1"/>
  <c r="AI3" i="8" s="1" a="1"/>
  <c r="AI3" i="8" s="1"/>
  <c r="AK3" i="8" a="1"/>
  <c r="AK3" i="8" s="1"/>
  <c r="AL3" i="8" s="1" a="1"/>
  <c r="AL3" i="8" s="1"/>
  <c r="AP3" i="8" a="1"/>
  <c r="AP3" i="8" s="1"/>
  <c r="AR3" i="8" a="1"/>
  <c r="AR3" i="8" s="1"/>
  <c r="AS3" i="8" s="1" a="1"/>
  <c r="AS3" i="8" s="1"/>
  <c r="AT3" i="8" s="1" a="1"/>
  <c r="AT3" i="8" s="1"/>
  <c r="AX3" i="8" a="1"/>
  <c r="AX3" i="8" s="1"/>
  <c r="BA3" i="8" a="1"/>
  <c r="BA3" i="8" s="1"/>
  <c r="BB3" i="8" s="1" a="1"/>
  <c r="BB3" i="8" s="1"/>
  <c r="BF3" i="8" a="1"/>
  <c r="BF3" i="8" s="1"/>
  <c r="BI3" i="8" a="1"/>
  <c r="BI3" i="8" s="1"/>
  <c r="BJ3" i="8" s="1" a="1"/>
  <c r="BJ3" i="8" s="1"/>
  <c r="R4" i="8" a="1"/>
  <c r="R4" i="8" s="1"/>
  <c r="T4" i="8" a="1"/>
  <c r="T4" i="8" s="1"/>
  <c r="U4" i="8" s="1" a="1"/>
  <c r="U4" i="8" s="1"/>
  <c r="V4" i="8" s="1" a="1"/>
  <c r="V4" i="8" s="1"/>
  <c r="AA4" i="8" a="1"/>
  <c r="AA4" i="8" s="1"/>
  <c r="AC4" i="8" a="1"/>
  <c r="AC4" i="8" s="1"/>
  <c r="AH4" i="8" a="1"/>
  <c r="AH4" i="8"/>
  <c r="AI4" i="8" s="1" a="1"/>
  <c r="AI4" i="8" s="1"/>
  <c r="AK4" i="8" a="1"/>
  <c r="AK4" i="8" s="1"/>
  <c r="AL4" i="8" s="1" a="1"/>
  <c r="AL4" i="8" s="1"/>
  <c r="AP4" i="8" a="1"/>
  <c r="AP4" i="8" s="1"/>
  <c r="AR4" i="8" a="1"/>
  <c r="AR4" i="8" s="1"/>
  <c r="AS4" i="8" s="1" a="1"/>
  <c r="AS4" i="8" s="1"/>
  <c r="AT4" i="8" s="1" a="1"/>
  <c r="AT4" i="8" s="1"/>
  <c r="AX4" i="8" a="1"/>
  <c r="AX4" i="8" s="1"/>
  <c r="BA4" i="8" a="1"/>
  <c r="BA4" i="8" s="1"/>
  <c r="BB4" i="8" s="1" a="1"/>
  <c r="BB4" i="8" s="1"/>
  <c r="BF4" i="8" a="1"/>
  <c r="BF4" i="8" s="1"/>
  <c r="BI4" i="8" a="1"/>
  <c r="BI4" i="8" s="1"/>
  <c r="BJ4" i="8" s="1" a="1"/>
  <c r="BJ4" i="8" s="1"/>
  <c r="R5" i="8" a="1"/>
  <c r="R5" i="8" s="1"/>
  <c r="S5" i="8" s="1" a="1"/>
  <c r="S5" i="8" s="1"/>
  <c r="T5" i="8" a="1"/>
  <c r="T5" i="8" s="1"/>
  <c r="U5" i="8" s="1" a="1"/>
  <c r="U5" i="8" s="1"/>
  <c r="AC5" i="8" a="1"/>
  <c r="AC5" i="8" s="1"/>
  <c r="AD5" i="8" s="1" a="1"/>
  <c r="AD5" i="8" s="1"/>
  <c r="AH5" i="8" a="1"/>
  <c r="AH5" i="8" s="1"/>
  <c r="AK5" i="8" a="1"/>
  <c r="AK5" i="8" s="1"/>
  <c r="AL5" i="8" s="1" a="1"/>
  <c r="AL5" i="8" s="1"/>
  <c r="AP5" i="8" a="1"/>
  <c r="AP5" i="8" s="1"/>
  <c r="AR5" i="8" a="1"/>
  <c r="AR5" i="8" s="1"/>
  <c r="AS5" i="8" s="1" a="1"/>
  <c r="AS5" i="8" s="1"/>
  <c r="AT5" i="8" s="1" a="1"/>
  <c r="AT5" i="8" s="1"/>
  <c r="AX5" i="8" a="1"/>
  <c r="AX5" i="8" s="1"/>
  <c r="BA5" i="8" a="1"/>
  <c r="BA5" i="8" s="1"/>
  <c r="BB5" i="8" s="1" a="1"/>
  <c r="BB5" i="8" s="1"/>
  <c r="BF5" i="8" a="1"/>
  <c r="BF5" i="8"/>
  <c r="BK5" i="8" s="1"/>
  <c r="BL5" i="8" s="1" a="1"/>
  <c r="BL5" i="8" s="1"/>
  <c r="BI5" i="8" a="1"/>
  <c r="BI5" i="8" s="1"/>
  <c r="BJ5" i="8" s="1" a="1"/>
  <c r="BJ5" i="8" s="1"/>
  <c r="R6" i="8" a="1"/>
  <c r="R6" i="8" s="1"/>
  <c r="S6" i="8" s="1" a="1"/>
  <c r="S6" i="8" s="1"/>
  <c r="T6" i="8" a="1"/>
  <c r="T6" i="8" s="1"/>
  <c r="U6" i="8" s="1" a="1"/>
  <c r="U6" i="8" s="1"/>
  <c r="V6" i="8" s="1" a="1"/>
  <c r="V6" i="8" s="1"/>
  <c r="AC6" i="8" a="1"/>
  <c r="AC6" i="8" s="1"/>
  <c r="AD6" i="8" s="1" a="1"/>
  <c r="AD6" i="8" s="1"/>
  <c r="AH6" i="8" a="1"/>
  <c r="AH6" i="8" s="1"/>
  <c r="AI6" i="8" s="1" a="1"/>
  <c r="AI6" i="8" s="1"/>
  <c r="AK6" i="8" a="1"/>
  <c r="AK6" i="8" s="1"/>
  <c r="AP6" i="8" a="1"/>
  <c r="AP6" i="8"/>
  <c r="AQ6" i="8" s="1" a="1"/>
  <c r="AQ6" i="8" s="1"/>
  <c r="AR6" i="8" a="1"/>
  <c r="AR6" i="8" s="1"/>
  <c r="AS6" i="8" s="1" a="1"/>
  <c r="AS6" i="8" s="1"/>
  <c r="AT6" i="8" s="1" a="1"/>
  <c r="AT6" i="8" s="1"/>
  <c r="AX6" i="8" a="1"/>
  <c r="AX6" i="8" s="1"/>
  <c r="BA6" i="8" a="1"/>
  <c r="BA6" i="8" s="1"/>
  <c r="BB6" i="8" s="1" a="1"/>
  <c r="BB6" i="8" s="1"/>
  <c r="BF6" i="8" a="1"/>
  <c r="BF6" i="8" s="1"/>
  <c r="BI6" i="8" a="1"/>
  <c r="BI6" i="8" s="1"/>
  <c r="BJ6" i="8" s="1" a="1"/>
  <c r="BJ6" i="8" s="1"/>
  <c r="R7" i="8" a="1"/>
  <c r="R7" i="8" s="1"/>
  <c r="T7" i="8" a="1"/>
  <c r="T7" i="8" s="1"/>
  <c r="U7" i="8" s="1" a="1"/>
  <c r="U7" i="8" s="1"/>
  <c r="V7" i="8" s="1" a="1"/>
  <c r="V7" i="8" s="1"/>
  <c r="AC7" i="8" a="1"/>
  <c r="AC7" i="8" s="1"/>
  <c r="AD7" i="8" s="1" a="1"/>
  <c r="AD7" i="8" s="1"/>
  <c r="AH7" i="8" a="1"/>
  <c r="AH7" i="8" s="1"/>
  <c r="AK7" i="8" a="1"/>
  <c r="AK7" i="8" s="1"/>
  <c r="AL7" i="8" s="1" a="1"/>
  <c r="AL7" i="8" s="1"/>
  <c r="AP7" i="8" a="1"/>
  <c r="AP7" i="8" s="1"/>
  <c r="AQ7" i="8" s="1" a="1"/>
  <c r="AQ7" i="8" s="1"/>
  <c r="AR7" i="8" a="1"/>
  <c r="AR7" i="8" s="1"/>
  <c r="AS7" i="8" s="1" a="1"/>
  <c r="AS7" i="8" s="1"/>
  <c r="AX7" i="8" a="1"/>
  <c r="AX7" i="8" s="1"/>
  <c r="BA7" i="8" a="1"/>
  <c r="BA7" i="8" s="1"/>
  <c r="BB7" i="8" s="1" a="1"/>
  <c r="BB7" i="8" s="1"/>
  <c r="BF7" i="8" a="1"/>
  <c r="BF7" i="8" s="1"/>
  <c r="BI7" i="8" a="1"/>
  <c r="BI7" i="8" s="1"/>
  <c r="BJ7" i="8" s="1" a="1"/>
  <c r="BJ7" i="8" s="1"/>
  <c r="R8" i="8" a="1"/>
  <c r="R8" i="8" s="1"/>
  <c r="T8" i="8" a="1"/>
  <c r="T8" i="8" s="1"/>
  <c r="U8" i="8" s="1" a="1"/>
  <c r="U8" i="8" s="1"/>
  <c r="V8" i="8" s="1" a="1"/>
  <c r="V8" i="8" s="1"/>
  <c r="AA8" i="8" a="1"/>
  <c r="AA8" i="8" s="1"/>
  <c r="AC8" i="8" a="1"/>
  <c r="AC8" i="8" s="1"/>
  <c r="AD8" i="8" s="1" a="1"/>
  <c r="AD8" i="8" s="1"/>
  <c r="AH8" i="8" a="1"/>
  <c r="AH8" i="8"/>
  <c r="AI8" i="8" s="1" a="1"/>
  <c r="AI8" i="8" s="1"/>
  <c r="AK8" i="8" a="1"/>
  <c r="AK8" i="8" s="1"/>
  <c r="AP8" i="8" a="1"/>
  <c r="AP8" i="8" s="1"/>
  <c r="AQ8" i="8" s="1" a="1"/>
  <c r="AQ8" i="8" s="1"/>
  <c r="AR8" i="8" a="1"/>
  <c r="AR8" i="8" s="1"/>
  <c r="AS8" i="8" s="1" a="1"/>
  <c r="AS8" i="8" s="1"/>
  <c r="AT8" i="8" s="1" a="1"/>
  <c r="AT8" i="8" s="1"/>
  <c r="AX8" i="8" a="1"/>
  <c r="AX8" i="8" s="1"/>
  <c r="BA8" i="8" a="1"/>
  <c r="BA8" i="8" s="1"/>
  <c r="BB8" i="8" s="1" a="1"/>
  <c r="BB8" i="8" s="1"/>
  <c r="BF8" i="8" a="1"/>
  <c r="BF8" i="8" s="1"/>
  <c r="BG8" i="8" s="1" a="1"/>
  <c r="BG8" i="8" s="1"/>
  <c r="BI8" i="8" a="1"/>
  <c r="BI8" i="8" s="1"/>
  <c r="BJ8" i="8" s="1" a="1"/>
  <c r="BJ8" i="8" s="1"/>
  <c r="R9" i="8" a="1"/>
  <c r="R9" i="8" s="1"/>
  <c r="S9" i="8" s="1" a="1"/>
  <c r="S9" i="8" s="1"/>
  <c r="T9" i="8" a="1"/>
  <c r="T9" i="8" s="1"/>
  <c r="U9" i="8" s="1" a="1"/>
  <c r="U9" i="8" s="1"/>
  <c r="V9" i="8" s="1" a="1"/>
  <c r="V9" i="8" s="1"/>
  <c r="AC9" i="8" a="1"/>
  <c r="AC9" i="8" s="1"/>
  <c r="AD9" i="8" s="1" a="1"/>
  <c r="AD9" i="8" s="1"/>
  <c r="AH9" i="8" a="1"/>
  <c r="AH9" i="8" s="1"/>
  <c r="AI9" i="8" s="1" a="1"/>
  <c r="AI9" i="8" s="1"/>
  <c r="AK9" i="8" a="1"/>
  <c r="AK9" i="8" s="1"/>
  <c r="AL9" i="8" s="1" a="1"/>
  <c r="AL9" i="8" s="1"/>
  <c r="AP9" i="8" a="1"/>
  <c r="AP9" i="8" s="1"/>
  <c r="AR9" i="8" a="1"/>
  <c r="AR9" i="8" s="1"/>
  <c r="AS9" i="8" s="1" a="1"/>
  <c r="AS9" i="8" s="1"/>
  <c r="AT9" i="8" s="1" a="1"/>
  <c r="AT9" i="8" s="1"/>
  <c r="AX9" i="8" a="1"/>
  <c r="AX9" i="8" s="1"/>
  <c r="AY9" i="8" s="1" a="1"/>
  <c r="AY9" i="8" s="1"/>
  <c r="BA9" i="8" a="1"/>
  <c r="BA9" i="8" s="1"/>
  <c r="BB9" i="8" s="1" a="1"/>
  <c r="BB9" i="8" s="1"/>
  <c r="BF9" i="8" a="1"/>
  <c r="BF9" i="8" s="1"/>
  <c r="BI9" i="8" a="1"/>
  <c r="BI9" i="8" s="1"/>
  <c r="BJ9" i="8" s="1" a="1"/>
  <c r="BJ9" i="8" s="1"/>
  <c r="R10" i="8" a="1"/>
  <c r="R10" i="8" s="1"/>
  <c r="S10" i="8" s="1" a="1"/>
  <c r="S10" i="8" s="1"/>
  <c r="T10" i="8" a="1"/>
  <c r="T10" i="8" s="1"/>
  <c r="U10" i="8" s="1" a="1"/>
  <c r="U10" i="8" s="1"/>
  <c r="V10" i="8" s="1" a="1"/>
  <c r="V10" i="8" s="1"/>
  <c r="AC10" i="8" a="1"/>
  <c r="AC10" i="8" s="1"/>
  <c r="AD10" i="8" s="1" a="1"/>
  <c r="AD10" i="8" s="1"/>
  <c r="AH10" i="8" a="1"/>
  <c r="AH10" i="8" s="1"/>
  <c r="AI10" i="8" s="1" a="1"/>
  <c r="AI10" i="8" s="1"/>
  <c r="AK10" i="8" a="1"/>
  <c r="AK10" i="8" s="1"/>
  <c r="AP10" i="8" a="1"/>
  <c r="AP10" i="8" s="1"/>
  <c r="AQ10" i="8" s="1" a="1"/>
  <c r="AQ10" i="8" s="1"/>
  <c r="AR10" i="8" a="1"/>
  <c r="AR10" i="8" s="1"/>
  <c r="AS10" i="8" s="1" a="1"/>
  <c r="AS10" i="8" s="1"/>
  <c r="AX10" i="8" a="1"/>
  <c r="AX10" i="8" s="1"/>
  <c r="BA10" i="8" a="1"/>
  <c r="BA10" i="8" s="1"/>
  <c r="BB10" i="8" s="1" a="1"/>
  <c r="BB10" i="8" s="1"/>
  <c r="BF10" i="8" a="1"/>
  <c r="BF10" i="8" s="1"/>
  <c r="BI10" i="8" a="1"/>
  <c r="BI10" i="8" s="1"/>
  <c r="BJ10" i="8" s="1" a="1"/>
  <c r="BJ10" i="8" s="1"/>
  <c r="R11" i="8" a="1"/>
  <c r="R11" i="8" s="1"/>
  <c r="T11" i="8" a="1"/>
  <c r="T11" i="8" s="1"/>
  <c r="U11" i="8" s="1" a="1"/>
  <c r="U11" i="8" s="1"/>
  <c r="V11" i="8" s="1" a="1"/>
  <c r="V11" i="8" s="1"/>
  <c r="AA11" i="8" a="1"/>
  <c r="AA11" i="8" s="1"/>
  <c r="AC11" i="8" a="1"/>
  <c r="AC11" i="8" s="1"/>
  <c r="AH11" i="8" a="1"/>
  <c r="AH11" i="8" s="1"/>
  <c r="AI11" i="8" s="1" a="1"/>
  <c r="AI11" i="8" s="1"/>
  <c r="AK11" i="8" a="1"/>
  <c r="AK11" i="8" s="1"/>
  <c r="AP11" i="8" a="1"/>
  <c r="AP11" i="8" s="1"/>
  <c r="AR11" i="8" a="1"/>
  <c r="AR11" i="8" s="1"/>
  <c r="AS11" i="8" s="1" a="1"/>
  <c r="AS11" i="8" s="1"/>
  <c r="AT11" i="8" s="1" a="1"/>
  <c r="AT11" i="8" s="1"/>
  <c r="AX11" i="8" a="1"/>
  <c r="AX11" i="8" s="1"/>
  <c r="BA11" i="8" a="1"/>
  <c r="BA11" i="8" s="1"/>
  <c r="BB11" i="8" s="1" a="1"/>
  <c r="BB11" i="8" s="1"/>
  <c r="BF11" i="8" a="1"/>
  <c r="BF11" i="8" s="1"/>
  <c r="BI11" i="8" a="1"/>
  <c r="BI11" i="8" s="1"/>
  <c r="BJ11" i="8" s="1" a="1"/>
  <c r="BJ11" i="8" s="1"/>
  <c r="R12" i="8" a="1"/>
  <c r="R12" i="8" s="1"/>
  <c r="S12" i="8" s="1" a="1"/>
  <c r="S12" i="8" s="1"/>
  <c r="T12" i="8" a="1"/>
  <c r="T12" i="8" s="1"/>
  <c r="U12" i="8" s="1" a="1"/>
  <c r="U12" i="8"/>
  <c r="AA12" i="8" a="1"/>
  <c r="AA12" i="8" s="1"/>
  <c r="AC12" i="8" a="1"/>
  <c r="AC12" i="8" s="1"/>
  <c r="AD12" i="8" s="1" a="1"/>
  <c r="AD12" i="8" s="1"/>
  <c r="AH12" i="8" a="1"/>
  <c r="AH12" i="8" s="1"/>
  <c r="AI12" i="8" s="1" a="1"/>
  <c r="AI12" i="8" s="1"/>
  <c r="AK12" i="8" a="1"/>
  <c r="AK12" i="8" s="1"/>
  <c r="AP12" i="8" a="1"/>
  <c r="AP12" i="8" s="1"/>
  <c r="AR12" i="8" a="1"/>
  <c r="AR12" i="8" s="1"/>
  <c r="AS12" i="8" s="1" a="1"/>
  <c r="AS12" i="8" s="1"/>
  <c r="AT12" i="8" s="1" a="1"/>
  <c r="AT12" i="8" s="1"/>
  <c r="AX12" i="8" a="1"/>
  <c r="AX12" i="8" s="1"/>
  <c r="BA12" i="8" a="1"/>
  <c r="BA12" i="8" s="1"/>
  <c r="BB12" i="8" s="1" a="1"/>
  <c r="BB12" i="8" s="1"/>
  <c r="BF12" i="8" a="1"/>
  <c r="BF12" i="8" s="1"/>
  <c r="BG12" i="8" s="1" a="1"/>
  <c r="BG12" i="8" s="1"/>
  <c r="BI12" i="8" a="1"/>
  <c r="BI12" i="8" s="1"/>
  <c r="BJ12" i="8" s="1" a="1"/>
  <c r="BJ12" i="8" s="1"/>
  <c r="R13" i="8" a="1"/>
  <c r="R13" i="8" s="1"/>
  <c r="S13" i="8" s="1" a="1"/>
  <c r="S13" i="8" s="1"/>
  <c r="T13" i="8" a="1"/>
  <c r="T13" i="8" s="1"/>
  <c r="U13" i="8" s="1" a="1"/>
  <c r="U13" i="8" s="1"/>
  <c r="V13" i="8" s="1" a="1"/>
  <c r="V13" i="8" s="1"/>
  <c r="AA13" i="8" a="1"/>
  <c r="AA13" i="8" s="1"/>
  <c r="AC13" i="8" a="1"/>
  <c r="AC13" i="8" s="1"/>
  <c r="AD13" i="8" s="1" a="1"/>
  <c r="AD13" i="8" s="1"/>
  <c r="AH13" i="8" a="1"/>
  <c r="AH13" i="8"/>
  <c r="AK13" i="8" a="1"/>
  <c r="AK13" i="8" s="1"/>
  <c r="AL13" i="8" s="1" a="1"/>
  <c r="AL13" i="8" s="1"/>
  <c r="AP13" i="8" a="1"/>
  <c r="AP13" i="8" s="1"/>
  <c r="AQ13" i="8" s="1" a="1"/>
  <c r="AQ13" i="8" s="1"/>
  <c r="AR13" i="8" a="1"/>
  <c r="AR13" i="8" s="1"/>
  <c r="AS13" i="8" s="1" a="1"/>
  <c r="AS13" i="8" s="1"/>
  <c r="AT13" i="8" s="1" a="1"/>
  <c r="AT13" i="8" s="1"/>
  <c r="AX13" i="8" a="1"/>
  <c r="AX13" i="8" s="1"/>
  <c r="BA13" i="8" a="1"/>
  <c r="BA13" i="8" s="1"/>
  <c r="BB13" i="8" s="1" a="1"/>
  <c r="BB13" i="8" s="1"/>
  <c r="BF13" i="8" a="1"/>
  <c r="BF13" i="8" s="1"/>
  <c r="BG13" i="8" s="1" a="1"/>
  <c r="BG13" i="8" s="1"/>
  <c r="BI13" i="8" a="1"/>
  <c r="BI13" i="8" s="1"/>
  <c r="BJ13" i="8" s="1" a="1"/>
  <c r="BJ13" i="8" s="1"/>
  <c r="R14" i="8" a="1"/>
  <c r="R14" i="8" s="1"/>
  <c r="S14" i="8" s="1" a="1"/>
  <c r="S14" i="8" s="1"/>
  <c r="T14" i="8" a="1"/>
  <c r="T14" i="8" s="1"/>
  <c r="U14" i="8" s="1" a="1"/>
  <c r="U14" i="8" s="1"/>
  <c r="V14" i="8" s="1" a="1"/>
  <c r="V14" i="8" s="1"/>
  <c r="AC14" i="8" a="1"/>
  <c r="AC14" i="8" s="1"/>
  <c r="AD14" i="8" s="1" a="1"/>
  <c r="AD14" i="8" s="1"/>
  <c r="AH14" i="8" a="1"/>
  <c r="AH14" i="8" s="1"/>
  <c r="AI14" i="8" s="1" a="1"/>
  <c r="AI14" i="8" s="1"/>
  <c r="AK14" i="8" a="1"/>
  <c r="AK14" i="8" s="1"/>
  <c r="AP14" i="8" a="1"/>
  <c r="AP14" i="8"/>
  <c r="AR14" i="8" a="1"/>
  <c r="AR14" i="8" s="1"/>
  <c r="AS14" i="8" s="1" a="1"/>
  <c r="AS14" i="8" s="1"/>
  <c r="AT14" i="8" s="1" a="1"/>
  <c r="AT14" i="8" s="1"/>
  <c r="AX14" i="8" a="1"/>
  <c r="AX14" i="8" s="1"/>
  <c r="AY14" i="8" s="1" a="1"/>
  <c r="AY14" i="8" s="1"/>
  <c r="BA14" i="8" a="1"/>
  <c r="BA14" i="8" s="1"/>
  <c r="BB14" i="8" s="1" a="1"/>
  <c r="BB14" i="8" s="1"/>
  <c r="BF14" i="8" a="1"/>
  <c r="BF14" i="8" s="1"/>
  <c r="BI14" i="8" a="1"/>
  <c r="BI14" i="8" s="1"/>
  <c r="BJ14" i="8" s="1" a="1"/>
  <c r="BJ14" i="8" s="1"/>
  <c r="R15" i="8" a="1"/>
  <c r="R15" i="8" s="1"/>
  <c r="T15" i="8" a="1"/>
  <c r="T15" i="8" s="1"/>
  <c r="U15" i="8" s="1" a="1"/>
  <c r="U15" i="8" s="1"/>
  <c r="V15" i="8" s="1" a="1"/>
  <c r="V15" i="8" s="1"/>
  <c r="AA15" i="8" a="1"/>
  <c r="AA15" i="8" s="1"/>
  <c r="AC15" i="8" a="1"/>
  <c r="AC15" i="8" s="1"/>
  <c r="AD15" i="8" s="1" a="1"/>
  <c r="AD15" i="8" s="1"/>
  <c r="AH15" i="8" a="1"/>
  <c r="AH15" i="8" s="1"/>
  <c r="AK15" i="8" a="1"/>
  <c r="AK15" i="8" s="1"/>
  <c r="AL15" i="8" s="1" a="1"/>
  <c r="AL15" i="8" s="1"/>
  <c r="AP15" i="8" a="1"/>
  <c r="AP15" i="8" s="1"/>
  <c r="AQ15" i="8" s="1" a="1"/>
  <c r="AQ15" i="8" s="1"/>
  <c r="AR15" i="8" a="1"/>
  <c r="AR15" i="8" s="1"/>
  <c r="AS15" i="8" s="1" a="1"/>
  <c r="AS15" i="8" s="1"/>
  <c r="AT15" i="8" s="1" a="1"/>
  <c r="AT15" i="8" s="1"/>
  <c r="AX15" i="8" a="1"/>
  <c r="AX15" i="8" s="1"/>
  <c r="BA15" i="8" a="1"/>
  <c r="BA15" i="8" s="1"/>
  <c r="BB15" i="8" s="1" a="1"/>
  <c r="BB15" i="8" s="1"/>
  <c r="BF15" i="8" a="1"/>
  <c r="BF15" i="8" s="1"/>
  <c r="BG15" i="8" s="1" a="1"/>
  <c r="BG15" i="8" s="1"/>
  <c r="BI15" i="8" a="1"/>
  <c r="BI15" i="8" s="1"/>
  <c r="BJ15" i="8" s="1" a="1"/>
  <c r="BJ15" i="8" s="1"/>
  <c r="R16" i="8" a="1"/>
  <c r="R16" i="8" s="1"/>
  <c r="S16" i="8" s="1" a="1"/>
  <c r="S16" i="8" s="1"/>
  <c r="T16" i="8" a="1"/>
  <c r="T16" i="8" s="1"/>
  <c r="U16" i="8" s="1" a="1"/>
  <c r="U16" i="8" s="1"/>
  <c r="AC16" i="8" a="1"/>
  <c r="AC16" i="8" s="1"/>
  <c r="AD16" i="8" s="1" a="1"/>
  <c r="AD16" i="8" s="1"/>
  <c r="AH16" i="8" a="1"/>
  <c r="AH16" i="8" s="1"/>
  <c r="AI16" i="8" s="1" a="1"/>
  <c r="AI16" i="8" s="1"/>
  <c r="AK16" i="8" a="1"/>
  <c r="AK16" i="8" s="1"/>
  <c r="AL16" i="8" s="1" a="1"/>
  <c r="AL16" i="8" s="1"/>
  <c r="AP16" i="8" a="1"/>
  <c r="AP16" i="8" s="1"/>
  <c r="AQ16" i="8" s="1" a="1"/>
  <c r="AQ16" i="8" s="1"/>
  <c r="AR16" i="8" a="1"/>
  <c r="AR16" i="8" s="1"/>
  <c r="AS16" i="8" s="1" a="1"/>
  <c r="AS16" i="8" s="1"/>
  <c r="AX16" i="8" a="1"/>
  <c r="AX16" i="8" s="1"/>
  <c r="BA16" i="8" a="1"/>
  <c r="BA16" i="8" s="1"/>
  <c r="BB16" i="8" s="1" a="1"/>
  <c r="BB16" i="8" s="1"/>
  <c r="BF16" i="8" a="1"/>
  <c r="BF16" i="8" s="1"/>
  <c r="BI16" i="8" a="1"/>
  <c r="BI16" i="8" s="1"/>
  <c r="BJ16" i="8" s="1" a="1"/>
  <c r="BJ16" i="8" s="1"/>
  <c r="R17" i="8" a="1"/>
  <c r="R17" i="8" s="1"/>
  <c r="T17" i="8" a="1"/>
  <c r="T17" i="8" s="1"/>
  <c r="U17" i="8" s="1" a="1"/>
  <c r="U17" i="8" s="1"/>
  <c r="V17" i="8" s="1" a="1"/>
  <c r="V17" i="8" s="1"/>
  <c r="AA17" i="8" a="1"/>
  <c r="AA17" i="8" s="1"/>
  <c r="AC17" i="8" a="1"/>
  <c r="AC17" i="8" s="1"/>
  <c r="AH17" i="8" a="1"/>
  <c r="AH17" i="8" s="1"/>
  <c r="AI17" i="8" s="1" a="1"/>
  <c r="AI17" i="8" s="1"/>
  <c r="AK17" i="8" a="1"/>
  <c r="AK17" i="8" s="1"/>
  <c r="AP17" i="8" a="1"/>
  <c r="AP17" i="8" s="1"/>
  <c r="AR17" i="8" a="1"/>
  <c r="AR17" i="8" s="1"/>
  <c r="AS17" i="8" s="1" a="1"/>
  <c r="AS17" i="8" s="1"/>
  <c r="AT17" i="8" s="1" a="1"/>
  <c r="AT17" i="8" s="1"/>
  <c r="AX17" i="8" a="1"/>
  <c r="AX17" i="8" s="1"/>
  <c r="BA17" i="8" a="1"/>
  <c r="BA17" i="8" s="1"/>
  <c r="BB17" i="8" s="1" a="1"/>
  <c r="BB17" i="8" s="1"/>
  <c r="BF17" i="8" a="1"/>
  <c r="BF17" i="8" s="1"/>
  <c r="BG17" i="8" s="1" a="1"/>
  <c r="BG17" i="8" s="1"/>
  <c r="BI17" i="8" a="1"/>
  <c r="BI17" i="8" s="1"/>
  <c r="R18" i="8" a="1"/>
  <c r="R18" i="8" s="1"/>
  <c r="S18" i="8" s="1" a="1"/>
  <c r="S18" i="8" s="1"/>
  <c r="T18" i="8" a="1"/>
  <c r="T18" i="8" s="1"/>
  <c r="U18" i="8" s="1" a="1"/>
  <c r="U18" i="8" s="1"/>
  <c r="V18" i="8" s="1" a="1"/>
  <c r="V18" i="8" s="1"/>
  <c r="AC18" i="8" a="1"/>
  <c r="AC18" i="8" s="1"/>
  <c r="AD18" i="8" s="1" a="1"/>
  <c r="AD18" i="8" s="1"/>
  <c r="AH18" i="8" a="1"/>
  <c r="AH18" i="8" s="1"/>
  <c r="AK18" i="8" a="1"/>
  <c r="AK18" i="8" s="1"/>
  <c r="AL18" i="8" s="1" a="1"/>
  <c r="AL18" i="8" s="1"/>
  <c r="AP18" i="8" a="1"/>
  <c r="AP18" i="8" s="1"/>
  <c r="AR18" i="8" a="1"/>
  <c r="AR18" i="8" s="1"/>
  <c r="AS18" i="8" s="1" a="1"/>
  <c r="AS18" i="8" s="1"/>
  <c r="AT18" i="8" s="1" a="1"/>
  <c r="AT18" i="8" s="1"/>
  <c r="AX18" i="8" a="1"/>
  <c r="AX18" i="8" s="1"/>
  <c r="AY18" i="8" s="1" a="1"/>
  <c r="AY18" i="8" s="1"/>
  <c r="BA18" i="8" a="1"/>
  <c r="BA18" i="8" s="1"/>
  <c r="BB18" i="8" s="1" a="1"/>
  <c r="BB18" i="8" s="1"/>
  <c r="BF18" i="8" a="1"/>
  <c r="BF18" i="8" s="1"/>
  <c r="BI18" i="8" a="1"/>
  <c r="BI18" i="8" s="1"/>
  <c r="BJ18" i="8" s="1" a="1"/>
  <c r="BJ18" i="8" s="1"/>
  <c r="R19" i="8" a="1"/>
  <c r="R19" i="8" s="1"/>
  <c r="T19" i="8" a="1"/>
  <c r="T19" i="8" s="1"/>
  <c r="U19" i="8" s="1" a="1"/>
  <c r="U19" i="8" s="1"/>
  <c r="V19" i="8" s="1" a="1"/>
  <c r="V19" i="8" s="1"/>
  <c r="AC19" i="8" a="1"/>
  <c r="AC19" i="8" s="1"/>
  <c r="AD19" i="8" s="1" a="1"/>
  <c r="AD19" i="8" s="1"/>
  <c r="AH19" i="8" a="1"/>
  <c r="AH19" i="8" s="1"/>
  <c r="AK19" i="8" a="1"/>
  <c r="AK19" i="8" s="1"/>
  <c r="AL19" i="8" s="1" a="1"/>
  <c r="AL19" i="8" s="1"/>
  <c r="AP19" i="8" a="1"/>
  <c r="AP19" i="8" s="1"/>
  <c r="AR19" i="8" a="1"/>
  <c r="AR19" i="8" s="1"/>
  <c r="AS19" i="8" s="1" a="1"/>
  <c r="AS19" i="8" s="1"/>
  <c r="AT19" i="8" s="1" a="1"/>
  <c r="AT19" i="8" s="1"/>
  <c r="AX19" i="8" a="1"/>
  <c r="AX19" i="8" s="1"/>
  <c r="AY19" i="8" s="1" a="1"/>
  <c r="AY19" i="8" s="1"/>
  <c r="BA19" i="8" a="1"/>
  <c r="BA19" i="8" s="1"/>
  <c r="BF19" i="8" a="1"/>
  <c r="BF19" i="8" s="1"/>
  <c r="BI19" i="8" a="1"/>
  <c r="BI19" i="8" s="1"/>
  <c r="BJ19" i="8" s="1" a="1"/>
  <c r="BJ19" i="8" s="1"/>
  <c r="R20" i="8" a="1"/>
  <c r="R20" i="8" s="1"/>
  <c r="T20" i="8" a="1"/>
  <c r="T20" i="8" s="1"/>
  <c r="U20" i="8" s="1" a="1"/>
  <c r="U20" i="8" s="1"/>
  <c r="V20" i="8" s="1" a="1"/>
  <c r="V20" i="8" s="1"/>
  <c r="AC20" i="8" a="1"/>
  <c r="AC20" i="8" s="1"/>
  <c r="AD20" i="8" s="1" a="1"/>
  <c r="AD20" i="8" s="1"/>
  <c r="AH20" i="8" a="1"/>
  <c r="AH20" i="8" s="1"/>
  <c r="AI20" i="8" s="1" a="1"/>
  <c r="AI20" i="8" s="1"/>
  <c r="AK20" i="8" a="1"/>
  <c r="AK20" i="8" s="1"/>
  <c r="AP20" i="8" a="1"/>
  <c r="AP20" i="8" s="1"/>
  <c r="AQ20" i="8" s="1" a="1"/>
  <c r="AQ20" i="8" s="1"/>
  <c r="AR20" i="8" a="1"/>
  <c r="AR20" i="8" s="1"/>
  <c r="AS20" i="8" s="1" a="1"/>
  <c r="AS20" i="8" s="1"/>
  <c r="AT20" i="8" s="1" a="1"/>
  <c r="AT20" i="8" s="1"/>
  <c r="AX20" i="8" a="1"/>
  <c r="AX20" i="8" s="1"/>
  <c r="BA20" i="8" a="1"/>
  <c r="BA20" i="8" s="1"/>
  <c r="BB20" i="8" s="1" a="1"/>
  <c r="BB20" i="8" s="1"/>
  <c r="BF20" i="8" a="1"/>
  <c r="BF20" i="8" s="1"/>
  <c r="BG20" i="8" s="1" a="1"/>
  <c r="BG20" i="8" s="1"/>
  <c r="BI20" i="8" a="1"/>
  <c r="BI20" i="8" s="1"/>
  <c r="BJ20" i="8" s="1" a="1"/>
  <c r="BJ20" i="8" s="1"/>
  <c r="R21" i="8" a="1"/>
  <c r="R21" i="8" s="1"/>
  <c r="S21" i="8" s="1" a="1"/>
  <c r="S21" i="8" s="1"/>
  <c r="T21" i="8" a="1"/>
  <c r="T21" i="8" s="1"/>
  <c r="U21" i="8" s="1" a="1"/>
  <c r="U21" i="8" s="1"/>
  <c r="V21" i="8" s="1" a="1"/>
  <c r="V21" i="8" s="1"/>
  <c r="AC21" i="8" a="1"/>
  <c r="AC21" i="8" s="1"/>
  <c r="AD21" i="8" s="1" a="1"/>
  <c r="AD21" i="8" s="1"/>
  <c r="AH21" i="8" a="1"/>
  <c r="AH21" i="8" s="1"/>
  <c r="AI21" i="8" s="1" a="1"/>
  <c r="AI21" i="8" s="1"/>
  <c r="AK21" i="8" a="1"/>
  <c r="AK21" i="8" s="1"/>
  <c r="AL21" i="8" s="1" a="1"/>
  <c r="AL21" i="8" s="1"/>
  <c r="AP21" i="8" a="1"/>
  <c r="AP21" i="8" s="1"/>
  <c r="AR21" i="8" a="1"/>
  <c r="AR21" i="8" s="1"/>
  <c r="AS21" i="8" s="1" a="1"/>
  <c r="AS21" i="8" s="1"/>
  <c r="AT21" i="8" s="1" a="1"/>
  <c r="AT21" i="8" s="1"/>
  <c r="AX21" i="8" a="1"/>
  <c r="AX21" i="8" s="1"/>
  <c r="AY21" i="8" s="1" a="1"/>
  <c r="AY21" i="8" s="1"/>
  <c r="BA21" i="8" a="1"/>
  <c r="BA21" i="8" s="1"/>
  <c r="BB21" i="8" s="1" a="1"/>
  <c r="BB21" i="8" s="1"/>
  <c r="BF21" i="8" a="1"/>
  <c r="BF21" i="8" s="1"/>
  <c r="BI21" i="8" a="1"/>
  <c r="BI21" i="8" s="1"/>
  <c r="BJ21" i="8" s="1" a="1"/>
  <c r="BJ21" i="8" s="1"/>
  <c r="R22" i="8" a="1"/>
  <c r="R22" i="8" s="1"/>
  <c r="T22" i="8" a="1"/>
  <c r="T22" i="8" s="1"/>
  <c r="U22" i="8" s="1" a="1"/>
  <c r="U22" i="8" s="1"/>
  <c r="V22" i="8" s="1" a="1"/>
  <c r="V22" i="8" s="1"/>
  <c r="AA22" i="8" a="1"/>
  <c r="AA22" i="8" s="1"/>
  <c r="AC22" i="8" a="1"/>
  <c r="AC22" i="8" s="1"/>
  <c r="AD22" i="8" s="1" a="1"/>
  <c r="AD22" i="8" s="1"/>
  <c r="AH22" i="8" a="1"/>
  <c r="AH22" i="8" s="1"/>
  <c r="AK22" i="8" a="1"/>
  <c r="AK22" i="8" s="1"/>
  <c r="AL22" i="8" s="1" a="1"/>
  <c r="AL22" i="8" s="1"/>
  <c r="AP22" i="8" a="1"/>
  <c r="AP22" i="8" s="1"/>
  <c r="AQ22" i="8" s="1" a="1"/>
  <c r="AQ22" i="8" s="1"/>
  <c r="AR22" i="8" a="1"/>
  <c r="AR22" i="8" s="1"/>
  <c r="AS22" i="8" s="1" a="1"/>
  <c r="AS22" i="8" s="1"/>
  <c r="AT22" i="8" s="1" a="1"/>
  <c r="AT22" i="8" s="1"/>
  <c r="AX22" i="8" a="1"/>
  <c r="AX22" i="8" s="1"/>
  <c r="BA22" i="8" a="1"/>
  <c r="BA22" i="8" s="1"/>
  <c r="BB22" i="8" s="1" a="1"/>
  <c r="BB22" i="8" s="1"/>
  <c r="BF22" i="8" a="1"/>
  <c r="BF22" i="8" s="1"/>
  <c r="BG22" i="8" s="1" a="1"/>
  <c r="BG22" i="8" s="1"/>
  <c r="BI22" i="8" a="1"/>
  <c r="BI22" i="8" s="1"/>
  <c r="BJ22" i="8" s="1" a="1"/>
  <c r="BJ22" i="8" s="1"/>
  <c r="R23" i="8" a="1"/>
  <c r="R23" i="8" s="1"/>
  <c r="S23" i="8" s="1" a="1"/>
  <c r="S23" i="8" s="1"/>
  <c r="T23" i="8" a="1"/>
  <c r="T23" i="8" s="1"/>
  <c r="U23" i="8" s="1" a="1"/>
  <c r="U23" i="8" s="1"/>
  <c r="V23" i="8" s="1" a="1"/>
  <c r="V23" i="8" s="1"/>
  <c r="AC23" i="8" a="1"/>
  <c r="AC23" i="8" s="1"/>
  <c r="AD23" i="8" s="1" a="1"/>
  <c r="AD23" i="8" s="1"/>
  <c r="AH23" i="8" a="1"/>
  <c r="AH23" i="8" s="1"/>
  <c r="AI23" i="8" s="1" a="1"/>
  <c r="AI23" i="8" s="1"/>
  <c r="AK23" i="8" a="1"/>
  <c r="AK23" i="8" s="1"/>
  <c r="AL23" i="8" s="1" a="1"/>
  <c r="AL23" i="8" s="1"/>
  <c r="AP23" i="8" a="1"/>
  <c r="AP23" i="8" s="1"/>
  <c r="AR23" i="8" a="1"/>
  <c r="AR23" i="8" s="1"/>
  <c r="AS23" i="8" s="1" a="1"/>
  <c r="AS23" i="8" s="1"/>
  <c r="AT23" i="8" s="1" a="1"/>
  <c r="AT23" i="8" s="1"/>
  <c r="AX23" i="8" a="1"/>
  <c r="AX23" i="8" s="1"/>
  <c r="AY23" i="8" s="1" a="1"/>
  <c r="AY23" i="8" s="1"/>
  <c r="BA23" i="8" a="1"/>
  <c r="BA23" i="8" s="1"/>
  <c r="BB23" i="8" s="1" a="1"/>
  <c r="BB23" i="8" s="1"/>
  <c r="BF23" i="8" a="1"/>
  <c r="BF23" i="8" s="1"/>
  <c r="BI23" i="8" a="1"/>
  <c r="BI23" i="8" s="1"/>
  <c r="BJ23" i="8" s="1" a="1"/>
  <c r="BJ23" i="8" s="1"/>
  <c r="R24" i="8" a="1"/>
  <c r="R24" i="8" s="1"/>
  <c r="T24" i="8" a="1"/>
  <c r="T24" i="8" s="1"/>
  <c r="U24" i="8" s="1" a="1"/>
  <c r="U24" i="8" s="1"/>
  <c r="V24" i="8" s="1" a="1"/>
  <c r="V24" i="8" s="1"/>
  <c r="AA24" i="8" a="1"/>
  <c r="AA24" i="8" s="1"/>
  <c r="AC24" i="8" a="1"/>
  <c r="AC24" i="8" s="1"/>
  <c r="AD24" i="8" s="1" a="1"/>
  <c r="AD24" i="8" s="1"/>
  <c r="AH24" i="8" a="1"/>
  <c r="AH24" i="8" s="1"/>
  <c r="AK24" i="8" a="1"/>
  <c r="AK24" i="8" s="1"/>
  <c r="AL24" i="8" s="1" a="1"/>
  <c r="AL24" i="8" s="1"/>
  <c r="AP24" i="8" a="1"/>
  <c r="AP24" i="8" s="1"/>
  <c r="AQ24" i="8" s="1" a="1"/>
  <c r="AQ24" i="8" s="1"/>
  <c r="AR24" i="8" a="1"/>
  <c r="AR24" i="8" s="1"/>
  <c r="AS24" i="8" s="1" a="1"/>
  <c r="AS24" i="8" s="1"/>
  <c r="AT24" i="8" s="1" a="1"/>
  <c r="AT24" i="8" s="1"/>
  <c r="AX24" i="8" a="1"/>
  <c r="AX24" i="8" s="1"/>
  <c r="BA24" i="8" a="1"/>
  <c r="BA24" i="8" s="1"/>
  <c r="BB24" i="8" s="1" a="1"/>
  <c r="BB24" i="8" s="1"/>
  <c r="BF24" i="8" a="1"/>
  <c r="BF24" i="8" s="1"/>
  <c r="BG24" i="8" s="1" a="1"/>
  <c r="BG24" i="8" s="1"/>
  <c r="BI24" i="8" a="1"/>
  <c r="BI24" i="8" s="1"/>
  <c r="BJ24" i="8" s="1" a="1"/>
  <c r="BJ24" i="8" s="1"/>
  <c r="R25" i="8" a="1"/>
  <c r="R25" i="8" s="1"/>
  <c r="S25" i="8" s="1" a="1"/>
  <c r="S25" i="8" s="1"/>
  <c r="T25" i="8" a="1"/>
  <c r="T25" i="8" s="1"/>
  <c r="U25" i="8" s="1" a="1"/>
  <c r="U25" i="8" s="1"/>
  <c r="V25" i="8" s="1" a="1"/>
  <c r="V25" i="8" s="1"/>
  <c r="AC25" i="8" a="1"/>
  <c r="AC25" i="8" s="1"/>
  <c r="AD25" i="8" s="1" a="1"/>
  <c r="AD25" i="8" s="1"/>
  <c r="AH25" i="8" a="1"/>
  <c r="AH25" i="8" s="1"/>
  <c r="AI25" i="8" s="1" a="1"/>
  <c r="AI25" i="8" s="1"/>
  <c r="AK25" i="8" a="1"/>
  <c r="AK25" i="8" s="1"/>
  <c r="AL25" i="8" s="1" a="1"/>
  <c r="AL25" i="8" s="1"/>
  <c r="AP25" i="8" a="1"/>
  <c r="AP25" i="8" s="1"/>
  <c r="AQ25" i="8" s="1" a="1"/>
  <c r="AQ25" i="8" s="1"/>
  <c r="AR25" i="8" a="1"/>
  <c r="AR25" i="8" s="1"/>
  <c r="AS25" i="8" s="1" a="1"/>
  <c r="AS25" i="8" s="1"/>
  <c r="AX25" i="8" a="1"/>
  <c r="AX25" i="8" s="1"/>
  <c r="BA25" i="8" a="1"/>
  <c r="BA25" i="8" s="1"/>
  <c r="BB25" i="8" s="1" a="1"/>
  <c r="BB25" i="8" s="1"/>
  <c r="BF25" i="8" a="1"/>
  <c r="BF25" i="8" s="1"/>
  <c r="BI25" i="8" a="1"/>
  <c r="BI25" i="8" s="1"/>
  <c r="BJ25" i="8" s="1" a="1"/>
  <c r="BJ25" i="8" s="1"/>
  <c r="R26" i="8" a="1"/>
  <c r="R26" i="8" s="1"/>
  <c r="T26" i="8" a="1"/>
  <c r="T26" i="8" s="1"/>
  <c r="U26" i="8" s="1" a="1"/>
  <c r="U26" i="8" s="1"/>
  <c r="V26" i="8" s="1" a="1"/>
  <c r="V26" i="8" s="1"/>
  <c r="AA26" i="8" a="1"/>
  <c r="AA26" i="8" s="1"/>
  <c r="AC26" i="8" a="1"/>
  <c r="AC26" i="8" s="1"/>
  <c r="AD26" i="8" s="1" a="1"/>
  <c r="AD26" i="8" s="1"/>
  <c r="AH26" i="8" a="1"/>
  <c r="AH26" i="8" s="1"/>
  <c r="AI26" i="8" s="1" a="1"/>
  <c r="AI26" i="8" s="1"/>
  <c r="AK26" i="8" a="1"/>
  <c r="AK26" i="8" s="1"/>
  <c r="AP26" i="8" a="1"/>
  <c r="AP26" i="8" s="1"/>
  <c r="AR26" i="8" a="1"/>
  <c r="AR26" i="8" s="1"/>
  <c r="AS26" i="8" s="1" a="1"/>
  <c r="AS26" i="8" s="1"/>
  <c r="AT26" i="8" s="1" a="1"/>
  <c r="AT26" i="8" s="1"/>
  <c r="AX26" i="8" a="1"/>
  <c r="AX26" i="8" s="1"/>
  <c r="AY26" i="8" s="1" a="1"/>
  <c r="AY26" i="8" s="1"/>
  <c r="BA26" i="8" a="1"/>
  <c r="BA26" i="8" s="1"/>
  <c r="BB26" i="8" s="1" a="1"/>
  <c r="BB26" i="8" s="1"/>
  <c r="BF26" i="8" a="1"/>
  <c r="BF26" i="8" s="1"/>
  <c r="BI26" i="8" a="1"/>
  <c r="BI26" i="8" s="1"/>
  <c r="BJ26" i="8" s="1" a="1"/>
  <c r="BJ26" i="8" s="1"/>
  <c r="R27" i="8" a="1"/>
  <c r="R27" i="8" s="1"/>
  <c r="T27" i="8" a="1"/>
  <c r="T27" i="8" s="1"/>
  <c r="U27" i="8" s="1" a="1"/>
  <c r="U27" i="8" s="1"/>
  <c r="V27" i="8" s="1" a="1"/>
  <c r="V27" i="8" s="1"/>
  <c r="AA27" i="8" a="1"/>
  <c r="AA27" i="8" s="1"/>
  <c r="AC27" i="8" a="1"/>
  <c r="AC27" i="8" s="1"/>
  <c r="AD27" i="8" s="1" a="1"/>
  <c r="AD27" i="8" s="1"/>
  <c r="AH27" i="8" a="1"/>
  <c r="AH27" i="8" s="1"/>
  <c r="AK27" i="8" a="1"/>
  <c r="AK27" i="8" s="1"/>
  <c r="AL27" i="8" s="1" a="1"/>
  <c r="AL27" i="8" s="1"/>
  <c r="AP27" i="8" a="1"/>
  <c r="AP27" i="8" s="1"/>
  <c r="AQ27" i="8" s="1" a="1"/>
  <c r="AQ27" i="8" s="1"/>
  <c r="AR27" i="8" a="1"/>
  <c r="AR27" i="8" s="1"/>
  <c r="AS27" i="8" s="1" a="1"/>
  <c r="AS27" i="8" s="1"/>
  <c r="AT27" i="8" s="1" a="1"/>
  <c r="AT27" i="8" s="1"/>
  <c r="AX27" i="8" a="1"/>
  <c r="AX27" i="8" s="1"/>
  <c r="BA27" i="8" a="1"/>
  <c r="BA27" i="8" s="1"/>
  <c r="BB27" i="8" s="1" a="1"/>
  <c r="BB27" i="8" s="1"/>
  <c r="BF27" i="8" a="1"/>
  <c r="BF27" i="8" s="1"/>
  <c r="BG27" i="8" s="1" a="1"/>
  <c r="BG27" i="8" s="1"/>
  <c r="BI27" i="8" a="1"/>
  <c r="BI27" i="8" s="1"/>
  <c r="BJ27" i="8" s="1" a="1"/>
  <c r="BJ27" i="8" s="1"/>
  <c r="R28" i="8" a="1"/>
  <c r="R28" i="8" s="1"/>
  <c r="T28" i="8" a="1"/>
  <c r="T28" i="8"/>
  <c r="U28" i="8" s="1" a="1"/>
  <c r="U28" i="8" s="1"/>
  <c r="V28" i="8" s="1" a="1"/>
  <c r="V28" i="8" s="1"/>
  <c r="AC28" i="8" a="1"/>
  <c r="AC28" i="8" s="1"/>
  <c r="AD28" i="8" s="1" a="1"/>
  <c r="AD28" i="8" s="1"/>
  <c r="AH28" i="8" a="1"/>
  <c r="AH28" i="8" s="1"/>
  <c r="AK28" i="8" a="1"/>
  <c r="AK28" i="8" s="1"/>
  <c r="AL28" i="8" s="1" a="1"/>
  <c r="AL28" i="8" s="1"/>
  <c r="AP28" i="8" a="1"/>
  <c r="AP28" i="8" s="1"/>
  <c r="AQ28" i="8" s="1" a="1"/>
  <c r="AQ28" i="8" s="1"/>
  <c r="AR28" i="8" a="1"/>
  <c r="AR28" i="8" s="1"/>
  <c r="AS28" i="8" s="1" a="1"/>
  <c r="AS28" i="8" s="1"/>
  <c r="AT28" i="8" s="1" a="1"/>
  <c r="AT28" i="8" s="1"/>
  <c r="AX28" i="8" a="1"/>
  <c r="AX28" i="8" s="1"/>
  <c r="BA28" i="8" a="1"/>
  <c r="BA28" i="8" s="1"/>
  <c r="BB28" i="8" s="1" a="1"/>
  <c r="BB28" i="8" s="1"/>
  <c r="BF28" i="8" a="1"/>
  <c r="BF28" i="8" s="1"/>
  <c r="BG28" i="8" s="1" a="1"/>
  <c r="BG28" i="8" s="1"/>
  <c r="BI28" i="8" a="1"/>
  <c r="BI28" i="8" s="1"/>
  <c r="BJ28" i="8" s="1" a="1"/>
  <c r="BJ28" i="8" s="1"/>
  <c r="R29" i="8" a="1"/>
  <c r="R29" i="8" s="1"/>
  <c r="S29" i="8" s="1" a="1"/>
  <c r="S29" i="8" s="1"/>
  <c r="T29" i="8" a="1"/>
  <c r="T29" i="8" s="1"/>
  <c r="U29" i="8" s="1" a="1"/>
  <c r="U29" i="8" s="1"/>
  <c r="V29" i="8" s="1" a="1"/>
  <c r="V29" i="8" s="1"/>
  <c r="AC29" i="8" a="1"/>
  <c r="AC29" i="8" s="1"/>
  <c r="AD29" i="8" s="1" a="1"/>
  <c r="AD29" i="8" s="1"/>
  <c r="AH29" i="8" a="1"/>
  <c r="AH29" i="8" s="1"/>
  <c r="AI29" i="8" s="1" a="1"/>
  <c r="AI29" i="8" s="1"/>
  <c r="AK29" i="8" a="1"/>
  <c r="AK29" i="8" s="1"/>
  <c r="AL29" i="8" s="1" a="1"/>
  <c r="AL29" i="8" s="1"/>
  <c r="AP29" i="8" a="1"/>
  <c r="AP29" i="8" s="1"/>
  <c r="AR29" i="8" a="1"/>
  <c r="AR29" i="8" s="1"/>
  <c r="AS29" i="8" s="1" a="1"/>
  <c r="AS29" i="8" s="1"/>
  <c r="AT29" i="8" s="1" a="1"/>
  <c r="AT29" i="8" s="1"/>
  <c r="AX29" i="8" a="1"/>
  <c r="AX29" i="8" s="1"/>
  <c r="AY29" i="8" s="1" a="1"/>
  <c r="AY29" i="8" s="1"/>
  <c r="BA29" i="8" a="1"/>
  <c r="BA29" i="8" s="1"/>
  <c r="BB29" i="8" s="1" a="1"/>
  <c r="BB29" i="8" s="1"/>
  <c r="BF29" i="8" a="1"/>
  <c r="BF29" i="8" s="1"/>
  <c r="BI29" i="8" a="1"/>
  <c r="BI29" i="8" s="1"/>
  <c r="BJ29" i="8" s="1" a="1"/>
  <c r="BJ29" i="8" s="1"/>
  <c r="R30" i="8" a="1"/>
  <c r="R30" i="8" s="1"/>
  <c r="T30" i="8" a="1"/>
  <c r="T30" i="8" s="1"/>
  <c r="U30" i="8" s="1" a="1"/>
  <c r="U30" i="8" s="1"/>
  <c r="V30" i="8" s="1" a="1"/>
  <c r="V30" i="8" s="1"/>
  <c r="AA30" i="8" a="1"/>
  <c r="AA30" i="8" s="1"/>
  <c r="AC30" i="8" a="1"/>
  <c r="AC30" i="8" s="1"/>
  <c r="AD30" i="8" s="1" a="1"/>
  <c r="AD30" i="8" s="1"/>
  <c r="AH30" i="8" a="1"/>
  <c r="AH30" i="8" s="1"/>
  <c r="AK30" i="8" a="1"/>
  <c r="AK30" i="8" s="1"/>
  <c r="AL30" i="8" s="1" a="1"/>
  <c r="AL30" i="8" s="1"/>
  <c r="AP30" i="8" a="1"/>
  <c r="AP30" i="8" s="1"/>
  <c r="AQ30" i="8" s="1" a="1"/>
  <c r="AQ30" i="8" s="1"/>
  <c r="AR30" i="8" a="1"/>
  <c r="AR30" i="8" s="1"/>
  <c r="AS30" i="8" s="1" a="1"/>
  <c r="AS30" i="8" s="1"/>
  <c r="AT30" i="8" s="1" a="1"/>
  <c r="AT30" i="8" s="1"/>
  <c r="AX30" i="8" a="1"/>
  <c r="AX30" i="8" s="1"/>
  <c r="BA30" i="8" a="1"/>
  <c r="BA30" i="8" s="1"/>
  <c r="BB30" i="8" s="1" a="1"/>
  <c r="BB30" i="8" s="1"/>
  <c r="BF30" i="8" a="1"/>
  <c r="BF30" i="8" s="1"/>
  <c r="BG30" i="8" s="1" a="1"/>
  <c r="BG30" i="8" s="1"/>
  <c r="BI30" i="8" a="1"/>
  <c r="BI30" i="8" s="1"/>
  <c r="BJ30" i="8" s="1" a="1"/>
  <c r="BJ30" i="8" s="1"/>
  <c r="BI2" i="8" a="1"/>
  <c r="BI2" i="8" s="1"/>
  <c r="BJ2" i="8" s="1" a="1"/>
  <c r="BJ2" i="8" s="1"/>
  <c r="BF2" i="8" a="1"/>
  <c r="BF2" i="8" s="1"/>
  <c r="BA2" i="8" a="1"/>
  <c r="BA2" i="8" s="1"/>
  <c r="BB2" i="8" s="1" a="1"/>
  <c r="BB2" i="8" s="1"/>
  <c r="AX2" i="8" a="1"/>
  <c r="AX2" i="8" s="1"/>
  <c r="AY2" i="8" s="1" a="1"/>
  <c r="AY2" i="8" s="1"/>
  <c r="AR2" i="8" a="1"/>
  <c r="AR2" i="8" s="1"/>
  <c r="AS2" i="8" s="1" a="1"/>
  <c r="AS2" i="8" s="1"/>
  <c r="AT2" i="8" s="1" a="1"/>
  <c r="AT2" i="8" s="1"/>
  <c r="AP2" i="8" a="1"/>
  <c r="AP2" i="8" s="1"/>
  <c r="AQ2" i="8" s="1" a="1"/>
  <c r="AQ2" i="8" s="1"/>
  <c r="AK2" i="8" a="1"/>
  <c r="AK2" i="8" s="1"/>
  <c r="AL2" i="8" s="1" a="1"/>
  <c r="AL2" i="8" s="1"/>
  <c r="AH2" i="8" a="1"/>
  <c r="AH2" i="8" s="1"/>
  <c r="AI2" i="8" s="1" a="1"/>
  <c r="AI2" i="8" s="1"/>
  <c r="BK15" i="8" l="1"/>
  <c r="BL15" i="8" s="1" a="1"/>
  <c r="BL15" i="8" s="1"/>
  <c r="BK11" i="8"/>
  <c r="BL11" i="8" s="1" a="1"/>
  <c r="BL11" i="8" s="1"/>
  <c r="BC9" i="8"/>
  <c r="BD9" i="8" s="1" a="1"/>
  <c r="BD9" i="8" s="1"/>
  <c r="BC18" i="8"/>
  <c r="BD18" i="8" s="1" a="1"/>
  <c r="BD18" i="8" s="1"/>
  <c r="AE17" i="8"/>
  <c r="AF17" i="8" s="1" a="1"/>
  <c r="AF17" i="8" s="1"/>
  <c r="BG9" i="8" a="1"/>
  <c r="BG9" i="8" s="1"/>
  <c r="BK9" i="8"/>
  <c r="BL9" i="8" s="1" a="1"/>
  <c r="BL9" i="8" s="1"/>
  <c r="AA9" i="8" a="1"/>
  <c r="AA9" i="8" s="1"/>
  <c r="AE9" i="8"/>
  <c r="AF9" i="8" s="1" a="1"/>
  <c r="AF9" i="8" s="1"/>
  <c r="AE5" i="8"/>
  <c r="AF5" i="8" s="1" a="1"/>
  <c r="AF5" i="8" s="1"/>
  <c r="AA5" i="8" a="1"/>
  <c r="AA5" i="8" s="1"/>
  <c r="BG4" i="8" a="1"/>
  <c r="BG4" i="8" s="1"/>
  <c r="BK4" i="8"/>
  <c r="BL4" i="8" s="1" a="1"/>
  <c r="BL4" i="8" s="1"/>
  <c r="BM18" i="8" a="1"/>
  <c r="BM18" i="8" s="1"/>
  <c r="BC5" i="8"/>
  <c r="BD5" i="8" s="1" a="1"/>
  <c r="BD5" i="8" s="1"/>
  <c r="AY5" i="8" a="1"/>
  <c r="AY5" i="8" s="1"/>
  <c r="BC6" i="8"/>
  <c r="BD6" i="8" s="1" a="1"/>
  <c r="BD6" i="8" s="1"/>
  <c r="BK2" i="8"/>
  <c r="BL2" i="8" s="1" a="1"/>
  <c r="BL2" i="8" s="1"/>
  <c r="AU27" i="8"/>
  <c r="AV27" i="8" s="1" a="1"/>
  <c r="AV27" i="8" s="1"/>
  <c r="W18" i="8"/>
  <c r="X18" i="8" s="1" a="1"/>
  <c r="X18" i="8" s="1"/>
  <c r="AD17" i="8" a="1"/>
  <c r="AD17" i="8" s="1"/>
  <c r="AY6" i="8" a="1"/>
  <c r="AY6" i="8" s="1"/>
  <c r="BG5" i="8" a="1"/>
  <c r="BG5" i="8" s="1"/>
  <c r="AA28" i="8" a="1"/>
  <c r="AA28" i="8" s="1"/>
  <c r="AE28" i="8"/>
  <c r="AF28" i="8" s="1" a="1"/>
  <c r="AF28" i="8" s="1"/>
  <c r="BM28" i="8" a="1"/>
  <c r="BM28" i="8" s="1"/>
  <c r="AT25" i="8" a="1"/>
  <c r="AT25" i="8" s="1"/>
  <c r="AU25" i="8"/>
  <c r="AV25" i="8" s="1" a="1"/>
  <c r="AV25" i="8" s="1"/>
  <c r="AY30" i="8" a="1"/>
  <c r="AY30" i="8" s="1"/>
  <c r="BC30" i="8"/>
  <c r="BD30" i="8" s="1" a="1"/>
  <c r="BD30" i="8" s="1"/>
  <c r="W30" i="8"/>
  <c r="X30" i="8" s="1" a="1"/>
  <c r="X30" i="8" s="1"/>
  <c r="S30" i="8" a="1"/>
  <c r="S30" i="8" s="1"/>
  <c r="AQ29" i="8" a="1"/>
  <c r="AQ29" i="8" s="1"/>
  <c r="AU29" i="8"/>
  <c r="AV29" i="8" s="1" a="1"/>
  <c r="AV29" i="8" s="1"/>
  <c r="BM29" i="8" a="1"/>
  <c r="BM29" i="8" s="1"/>
  <c r="AM28" i="8"/>
  <c r="AN28" i="8" s="1" a="1"/>
  <c r="AN28" i="8" s="1"/>
  <c r="AI28" i="8" a="1"/>
  <c r="AI28" i="8" s="1"/>
  <c r="BM30" i="8" a="1"/>
  <c r="BM30" i="8" s="1"/>
  <c r="AI30" i="8" a="1"/>
  <c r="AI30" i="8" s="1"/>
  <c r="AM30" i="8"/>
  <c r="AN30" i="8" s="1" a="1"/>
  <c r="AN30" i="8" s="1"/>
  <c r="BK29" i="8"/>
  <c r="BL29" i="8" s="1" a="1"/>
  <c r="BL29" i="8" s="1"/>
  <c r="BG29" i="8" a="1"/>
  <c r="BG29" i="8" s="1"/>
  <c r="AA29" i="8" a="1"/>
  <c r="AA29" i="8" s="1"/>
  <c r="AE29" i="8"/>
  <c r="AF29" i="8" s="1" a="1"/>
  <c r="AF29" i="8" s="1"/>
  <c r="AY28" i="8" a="1"/>
  <c r="AY28" i="8" s="1"/>
  <c r="BC28" i="8"/>
  <c r="BD28" i="8" s="1" a="1"/>
  <c r="BD28" i="8" s="1"/>
  <c r="S28" i="8" a="1"/>
  <c r="S28" i="8" s="1"/>
  <c r="W28" i="8"/>
  <c r="X28" i="8" s="1" a="1"/>
  <c r="X28" i="8" s="1"/>
  <c r="AL26" i="8" a="1"/>
  <c r="AL26" i="8" s="1"/>
  <c r="AM26" i="8"/>
  <c r="AN26" i="8" s="1" a="1"/>
  <c r="AN26" i="8" s="1"/>
  <c r="BM26" i="8" a="1"/>
  <c r="BM26" i="8" s="1"/>
  <c r="AI27" i="8" a="1"/>
  <c r="AI27" i="8" s="1"/>
  <c r="AM27" i="8"/>
  <c r="AN27" i="8" s="1" a="1"/>
  <c r="AN27" i="8" s="1"/>
  <c r="AU30" i="8"/>
  <c r="AV30" i="8" s="1" a="1"/>
  <c r="AV30" i="8" s="1"/>
  <c r="BC29" i="8"/>
  <c r="BD29" i="8" s="1" a="1"/>
  <c r="BD29" i="8" s="1"/>
  <c r="W29" i="8"/>
  <c r="X29" i="8" s="1" a="1"/>
  <c r="X29" i="8" s="1"/>
  <c r="BK28" i="8"/>
  <c r="BL28" i="8" s="1" a="1"/>
  <c r="BL28" i="8" s="1"/>
  <c r="BK27" i="8"/>
  <c r="BL27" i="8" s="1" a="1"/>
  <c r="BL27" i="8" s="1"/>
  <c r="AY27" i="8" a="1"/>
  <c r="AY27" i="8" s="1"/>
  <c r="BC27" i="8"/>
  <c r="BD27" i="8" s="1" a="1"/>
  <c r="BD27" i="8" s="1"/>
  <c r="AA25" i="8" a="1"/>
  <c r="AA25" i="8" s="1"/>
  <c r="AE25" i="8"/>
  <c r="AF25" i="8" s="1" a="1"/>
  <c r="AF25" i="8" s="1"/>
  <c r="AY24" i="8" a="1"/>
  <c r="AY24" i="8" s="1"/>
  <c r="BC24" i="8"/>
  <c r="BD24" i="8" s="1" a="1"/>
  <c r="BD24" i="8" s="1"/>
  <c r="S24" i="8" a="1"/>
  <c r="S24" i="8" s="1"/>
  <c r="W24" i="8"/>
  <c r="X24" i="8" s="1" a="1"/>
  <c r="X24" i="8" s="1"/>
  <c r="AQ23" i="8" a="1"/>
  <c r="AQ23" i="8" s="1"/>
  <c r="AU23" i="8"/>
  <c r="AV23" i="8" s="1" a="1"/>
  <c r="AV23" i="8" s="1"/>
  <c r="BM23" i="8" a="1"/>
  <c r="BM23" i="8" s="1"/>
  <c r="AI22" i="8" a="1"/>
  <c r="AI22" i="8" s="1"/>
  <c r="AM22" i="8"/>
  <c r="AN22" i="8" s="1" a="1"/>
  <c r="AN22" i="8" s="1"/>
  <c r="BG21" i="8" a="1"/>
  <c r="BG21" i="8" s="1"/>
  <c r="BK21" i="8"/>
  <c r="BL21" i="8" s="1" a="1"/>
  <c r="BL21" i="8" s="1"/>
  <c r="AA21" i="8" a="1"/>
  <c r="AA21" i="8" s="1"/>
  <c r="AE21" i="8"/>
  <c r="AF21" i="8" s="1" a="1"/>
  <c r="AF21" i="8" s="1"/>
  <c r="AY20" i="8" a="1"/>
  <c r="AY20" i="8" s="1"/>
  <c r="BC20" i="8"/>
  <c r="BD20" i="8" s="1" a="1"/>
  <c r="BD20" i="8" s="1"/>
  <c r="W20" i="8"/>
  <c r="X20" i="8" s="1" a="1"/>
  <c r="X20" i="8" s="1"/>
  <c r="BM19" i="8" a="1"/>
  <c r="BM19" i="8" s="1"/>
  <c r="BJ17" i="8" a="1"/>
  <c r="BJ17" i="8" s="1"/>
  <c r="BK17" i="8"/>
  <c r="BL17" i="8" s="1" a="1"/>
  <c r="BL17" i="8" s="1"/>
  <c r="BM24" i="8" a="1"/>
  <c r="BM24" i="8" s="1"/>
  <c r="AM20" i="8"/>
  <c r="AN20" i="8" s="1" a="1"/>
  <c r="AN20" i="8" s="1"/>
  <c r="AL20" i="8" a="1"/>
  <c r="AL20" i="8" s="1"/>
  <c r="AU19" i="8"/>
  <c r="AV19" i="8" s="1" a="1"/>
  <c r="AV19" i="8" s="1"/>
  <c r="BC26" i="8"/>
  <c r="BD26" i="8" s="1" a="1"/>
  <c r="BD26" i="8" s="1"/>
  <c r="AQ26" i="8" a="1"/>
  <c r="AQ26" i="8" s="1"/>
  <c r="AU26" i="8"/>
  <c r="AV26" i="8" s="1" a="1"/>
  <c r="AV26" i="8" s="1"/>
  <c r="BM22" i="8" a="1"/>
  <c r="BM22" i="8" s="1"/>
  <c r="BK30" i="8"/>
  <c r="BL30" i="8" s="1" a="1"/>
  <c r="BL30" i="8" s="1"/>
  <c r="AE30" i="8"/>
  <c r="AF30" i="8" s="1" a="1"/>
  <c r="AF30" i="8" s="1"/>
  <c r="AM29" i="8"/>
  <c r="AN29" i="8" s="1" a="1"/>
  <c r="AN29" i="8" s="1"/>
  <c r="AU28" i="8"/>
  <c r="AV28" i="8" s="1" a="1"/>
  <c r="AV28" i="8" s="1"/>
  <c r="BM27" i="8" a="1"/>
  <c r="BM27" i="8" s="1"/>
  <c r="AE27" i="8"/>
  <c r="AF27" i="8" s="1" a="1"/>
  <c r="AF27" i="8" s="1"/>
  <c r="S27" i="8" a="1"/>
  <c r="S27" i="8" s="1"/>
  <c r="W27" i="8"/>
  <c r="X27" i="8" s="1" a="1"/>
  <c r="X27" i="8" s="1"/>
  <c r="BG26" i="8" a="1"/>
  <c r="BG26" i="8" s="1"/>
  <c r="BK26" i="8"/>
  <c r="BL26" i="8" s="1" a="1"/>
  <c r="BL26" i="8" s="1"/>
  <c r="S26" i="8" a="1"/>
  <c r="S26" i="8" s="1"/>
  <c r="W26" i="8"/>
  <c r="X26" i="8" s="1" a="1"/>
  <c r="X26" i="8" s="1"/>
  <c r="BM25" i="8" a="1"/>
  <c r="BM25" i="8" s="1"/>
  <c r="AI24" i="8" a="1"/>
  <c r="AI24" i="8" s="1"/>
  <c r="AM24" i="8"/>
  <c r="AN24" i="8" s="1" a="1"/>
  <c r="AN24" i="8" s="1"/>
  <c r="BG23" i="8" a="1"/>
  <c r="BG23" i="8" s="1"/>
  <c r="BK23" i="8"/>
  <c r="BL23" i="8" s="1" a="1"/>
  <c r="BL23" i="8" s="1"/>
  <c r="AA23" i="8" a="1"/>
  <c r="AA23" i="8" s="1"/>
  <c r="AE23" i="8"/>
  <c r="AF23" i="8" s="1" a="1"/>
  <c r="AF23" i="8" s="1"/>
  <c r="AY22" i="8" a="1"/>
  <c r="AY22" i="8" s="1"/>
  <c r="BC22" i="8"/>
  <c r="BD22" i="8" s="1" a="1"/>
  <c r="BD22" i="8" s="1"/>
  <c r="S22" i="8" a="1"/>
  <c r="S22" i="8" s="1"/>
  <c r="W22" i="8"/>
  <c r="X22" i="8" s="1" a="1"/>
  <c r="X22" i="8" s="1"/>
  <c r="AQ21" i="8" a="1"/>
  <c r="AQ21" i="8" s="1"/>
  <c r="AU21" i="8"/>
  <c r="AV21" i="8" s="1" a="1"/>
  <c r="AV21" i="8" s="1"/>
  <c r="BM21" i="8" a="1"/>
  <c r="BM21" i="8" s="1"/>
  <c r="BM20" i="8" a="1"/>
  <c r="BM20" i="8" s="1"/>
  <c r="BG19" i="8" a="1"/>
  <c r="BG19" i="8" s="1"/>
  <c r="BK19" i="8"/>
  <c r="BL19" i="8" s="1" a="1"/>
  <c r="BL19" i="8" s="1"/>
  <c r="BG25" i="8" a="1"/>
  <c r="BG25" i="8" s="1"/>
  <c r="BK25" i="8"/>
  <c r="BL25" i="8" s="1" a="1"/>
  <c r="BL25" i="8" s="1"/>
  <c r="AY25" i="8" a="1"/>
  <c r="AY25" i="8" s="1"/>
  <c r="BC25" i="8"/>
  <c r="BD25" i="8" s="1" a="1"/>
  <c r="BD25" i="8" s="1"/>
  <c r="BB19" i="8" a="1"/>
  <c r="BB19" i="8" s="1"/>
  <c r="BC19" i="8"/>
  <c r="BD19" i="8" s="1" a="1"/>
  <c r="BD19" i="8" s="1"/>
  <c r="W25" i="8"/>
  <c r="X25" i="8" s="1" a="1"/>
  <c r="X25" i="8" s="1"/>
  <c r="BK24" i="8"/>
  <c r="BL24" i="8" s="1" a="1"/>
  <c r="BL24" i="8" s="1"/>
  <c r="AE24" i="8"/>
  <c r="AF24" i="8" s="1" a="1"/>
  <c r="AF24" i="8" s="1"/>
  <c r="AM23" i="8"/>
  <c r="AN23" i="8" s="1" a="1"/>
  <c r="AN23" i="8" s="1"/>
  <c r="AU22" i="8"/>
  <c r="AV22" i="8" s="1" a="1"/>
  <c r="AV22" i="8" s="1"/>
  <c r="BC21" i="8"/>
  <c r="BD21" i="8" s="1" a="1"/>
  <c r="BD21" i="8" s="1"/>
  <c r="W21" i="8"/>
  <c r="X21" i="8" s="1" a="1"/>
  <c r="X21" i="8" s="1"/>
  <c r="BK20" i="8"/>
  <c r="BL20" i="8" s="1" a="1"/>
  <c r="BL20" i="8" s="1"/>
  <c r="S20" i="8" a="1"/>
  <c r="S20" i="8" s="1"/>
  <c r="AQ19" i="8" a="1"/>
  <c r="AQ19" i="8" s="1"/>
  <c r="AI19" i="8" a="1"/>
  <c r="AI19" i="8" s="1"/>
  <c r="AM19" i="8"/>
  <c r="AN19" i="8" s="1" a="1"/>
  <c r="AN19" i="8" s="1"/>
  <c r="BG18" i="8" a="1"/>
  <c r="BG18" i="8" s="1"/>
  <c r="BK18" i="8"/>
  <c r="BL18" i="8" s="1" a="1"/>
  <c r="BL18" i="8" s="1"/>
  <c r="AY17" i="8" a="1"/>
  <c r="AY17" i="8" s="1"/>
  <c r="BC17" i="8"/>
  <c r="BD17" i="8" s="1" a="1"/>
  <c r="BD17" i="8" s="1"/>
  <c r="AQ17" i="8" a="1"/>
  <c r="AQ17" i="8" s="1"/>
  <c r="AU17" i="8"/>
  <c r="AV17" i="8" s="1" a="1"/>
  <c r="AV17" i="8" s="1"/>
  <c r="AT16" i="8" a="1"/>
  <c r="AT16" i="8" s="1"/>
  <c r="AU16" i="8"/>
  <c r="AV16" i="8" s="1" a="1"/>
  <c r="AV16" i="8" s="1"/>
  <c r="V16" i="8" a="1"/>
  <c r="V16" i="8" s="1"/>
  <c r="W16" i="8"/>
  <c r="X16" i="8" s="1" a="1"/>
  <c r="X16" i="8" s="1"/>
  <c r="BM14" i="8" a="1"/>
  <c r="BM14" i="8" s="1"/>
  <c r="AL12" i="8" a="1"/>
  <c r="AL12" i="8" s="1"/>
  <c r="AM12" i="8"/>
  <c r="AN12" i="8" s="1" a="1"/>
  <c r="AN12" i="8" s="1"/>
  <c r="AA19" i="8" a="1"/>
  <c r="AA19" i="8" s="1"/>
  <c r="AE19" i="8"/>
  <c r="AF19" i="8" s="1" a="1"/>
  <c r="AF19" i="8" s="1"/>
  <c r="S19" i="8" a="1"/>
  <c r="S19" i="8" s="1"/>
  <c r="W19" i="8"/>
  <c r="X19" i="8" s="1" a="1"/>
  <c r="X19" i="8" s="1"/>
  <c r="AE26" i="8"/>
  <c r="AF26" i="8" s="1" a="1"/>
  <c r="AF26" i="8" s="1"/>
  <c r="AM25" i="8"/>
  <c r="AN25" i="8" s="1" a="1"/>
  <c r="AN25" i="8" s="1"/>
  <c r="AU24" i="8"/>
  <c r="AV24" i="8" s="1" a="1"/>
  <c r="AV24" i="8" s="1"/>
  <c r="BC23" i="8"/>
  <c r="BD23" i="8" s="1" a="1"/>
  <c r="BD23" i="8" s="1"/>
  <c r="W23" i="8"/>
  <c r="X23" i="8" s="1" a="1"/>
  <c r="X23" i="8" s="1"/>
  <c r="BK22" i="8"/>
  <c r="BL22" i="8" s="1" a="1"/>
  <c r="BL22" i="8" s="1"/>
  <c r="AE22" i="8"/>
  <c r="AF22" i="8" s="1" a="1"/>
  <c r="AF22" i="8" s="1"/>
  <c r="AM21" i="8"/>
  <c r="AN21" i="8" s="1" a="1"/>
  <c r="AN21" i="8" s="1"/>
  <c r="AU20" i="8"/>
  <c r="AV20" i="8" s="1" a="1"/>
  <c r="AV20" i="8" s="1"/>
  <c r="S17" i="8" a="1"/>
  <c r="S17" i="8" s="1"/>
  <c r="W17" i="8"/>
  <c r="X17" i="8" s="1" a="1"/>
  <c r="X17" i="8" s="1"/>
  <c r="BM17" i="8" a="1"/>
  <c r="BM17" i="8" s="1"/>
  <c r="BG16" i="8" a="1"/>
  <c r="BG16" i="8" s="1"/>
  <c r="BK16" i="8"/>
  <c r="BL16" i="8" s="1" a="1"/>
  <c r="BL16" i="8" s="1"/>
  <c r="BC16" i="8"/>
  <c r="BD16" i="8" s="1" a="1"/>
  <c r="BD16" i="8" s="1"/>
  <c r="AY16" i="8" a="1"/>
  <c r="AY16" i="8" s="1"/>
  <c r="AL14" i="8" a="1"/>
  <c r="AL14" i="8" s="1"/>
  <c r="AM14" i="8"/>
  <c r="AN14" i="8" s="1" a="1"/>
  <c r="AN14" i="8" s="1"/>
  <c r="AA20" i="8" a="1"/>
  <c r="AA20" i="8" s="1"/>
  <c r="AE20" i="8"/>
  <c r="AF20" i="8" s="1" a="1"/>
  <c r="AF20" i="8" s="1"/>
  <c r="AQ18" i="8" a="1"/>
  <c r="AQ18" i="8" s="1"/>
  <c r="AU18" i="8"/>
  <c r="AV18" i="8" s="1" a="1"/>
  <c r="AV18" i="8" s="1"/>
  <c r="AI18" i="8" a="1"/>
  <c r="AI18" i="8" s="1"/>
  <c r="AM18" i="8"/>
  <c r="AN18" i="8" s="1" a="1"/>
  <c r="AN18" i="8" s="1"/>
  <c r="AA18" i="8" a="1"/>
  <c r="AA18" i="8" s="1"/>
  <c r="AE18" i="8"/>
  <c r="AF18" i="8" s="1" a="1"/>
  <c r="AF18" i="8" s="1"/>
  <c r="AL17" i="8" a="1"/>
  <c r="AL17" i="8" s="1"/>
  <c r="AM17" i="8"/>
  <c r="AN17" i="8" s="1" a="1"/>
  <c r="AN17" i="8" s="1"/>
  <c r="AY15" i="8" a="1"/>
  <c r="AY15" i="8" s="1"/>
  <c r="BC15" i="8"/>
  <c r="BD15" i="8" s="1" a="1"/>
  <c r="BD15" i="8" s="1"/>
  <c r="AA14" i="8" a="1"/>
  <c r="AA14" i="8" s="1"/>
  <c r="AE14" i="8"/>
  <c r="AF14" i="8" s="1" a="1"/>
  <c r="AF14" i="8" s="1"/>
  <c r="AY12" i="8" a="1"/>
  <c r="AY12" i="8" s="1"/>
  <c r="BC12" i="8"/>
  <c r="BD12" i="8" s="1" a="1"/>
  <c r="BD12" i="8" s="1"/>
  <c r="AQ12" i="8" a="1"/>
  <c r="AQ12" i="8" s="1"/>
  <c r="AU12" i="8"/>
  <c r="AV12" i="8" s="1" a="1"/>
  <c r="AV12" i="8" s="1"/>
  <c r="BM12" i="8" a="1"/>
  <c r="BM12" i="8" s="1"/>
  <c r="AY11" i="8" a="1"/>
  <c r="AY11" i="8" s="1"/>
  <c r="BC11" i="8"/>
  <c r="BD11" i="8" s="1" a="1"/>
  <c r="BD11" i="8" s="1"/>
  <c r="AL11" i="8" a="1"/>
  <c r="AL11" i="8" s="1"/>
  <c r="AM11" i="8"/>
  <c r="AN11" i="8" s="1" a="1"/>
  <c r="AN11" i="8" s="1"/>
  <c r="AE11" i="8"/>
  <c r="AF11" i="8" s="1" a="1"/>
  <c r="AF11" i="8" s="1"/>
  <c r="AD11" i="8" a="1"/>
  <c r="AD11" i="8" s="1"/>
  <c r="BM10" i="8" a="1"/>
  <c r="BM10" i="8" s="1"/>
  <c r="BM9" i="8" a="1"/>
  <c r="BM9" i="8" s="1"/>
  <c r="AM16" i="8"/>
  <c r="AN16" i="8" s="1" a="1"/>
  <c r="AN16" i="8" s="1"/>
  <c r="AA16" i="8" a="1"/>
  <c r="AA16" i="8" s="1"/>
  <c r="AE16" i="8"/>
  <c r="AF16" i="8" s="1" a="1"/>
  <c r="AF16" i="8" s="1"/>
  <c r="BC14" i="8"/>
  <c r="BD14" i="8" s="1" a="1"/>
  <c r="BD14" i="8" s="1"/>
  <c r="AQ14" i="8" a="1"/>
  <c r="AQ14" i="8" s="1"/>
  <c r="AU14" i="8"/>
  <c r="AV14" i="8" s="1" a="1"/>
  <c r="AV14" i="8" s="1"/>
  <c r="AE13" i="8"/>
  <c r="AF13" i="8" s="1" a="1"/>
  <c r="AF13" i="8" s="1"/>
  <c r="BM13" i="8" a="1"/>
  <c r="BM13" i="8" s="1"/>
  <c r="AT7" i="8" a="1"/>
  <c r="AT7" i="8" s="1"/>
  <c r="AU7" i="8"/>
  <c r="AV7" i="8" s="1" a="1"/>
  <c r="AV7" i="8" s="1"/>
  <c r="AE15" i="8"/>
  <c r="AF15" i="8" s="1" a="1"/>
  <c r="AF15" i="8" s="1"/>
  <c r="S15" i="8" a="1"/>
  <c r="S15" i="8" s="1"/>
  <c r="W15" i="8"/>
  <c r="X15" i="8" s="1" a="1"/>
  <c r="X15" i="8" s="1"/>
  <c r="BM15" i="8" a="1"/>
  <c r="BM15" i="8" s="1"/>
  <c r="BG14" i="8" a="1"/>
  <c r="BG14" i="8" s="1"/>
  <c r="BK14" i="8"/>
  <c r="BL14" i="8" s="1" a="1"/>
  <c r="BL14" i="8" s="1"/>
  <c r="AU13" i="8"/>
  <c r="AV13" i="8" s="1" a="1"/>
  <c r="AV13" i="8" s="1"/>
  <c r="AI13" i="8" a="1"/>
  <c r="AI13" i="8" s="1"/>
  <c r="AM13" i="8"/>
  <c r="AN13" i="8" s="1" a="1"/>
  <c r="AN13" i="8" s="1"/>
  <c r="BC10" i="8"/>
  <c r="BD10" i="8" s="1" a="1"/>
  <c r="BD10" i="8" s="1"/>
  <c r="AY10" i="8" a="1"/>
  <c r="AY10" i="8" s="1"/>
  <c r="BM16" i="8" a="1"/>
  <c r="BM16" i="8" s="1"/>
  <c r="AU15" i="8"/>
  <c r="AV15" i="8" s="1" a="1"/>
  <c r="AV15" i="8" s="1"/>
  <c r="AI15" i="8" a="1"/>
  <c r="AI15" i="8" s="1"/>
  <c r="AM15" i="8"/>
  <c r="AN15" i="8" s="1" a="1"/>
  <c r="AN15" i="8" s="1"/>
  <c r="W14" i="8"/>
  <c r="X14" i="8" s="1" a="1"/>
  <c r="X14" i="8" s="1"/>
  <c r="BK13" i="8"/>
  <c r="BL13" i="8" s="1" a="1"/>
  <c r="BL13" i="8" s="1"/>
  <c r="AY13" i="8" a="1"/>
  <c r="AY13" i="8" s="1"/>
  <c r="BC13" i="8"/>
  <c r="BD13" i="8" s="1" a="1"/>
  <c r="BD13" i="8" s="1"/>
  <c r="V12" i="8" a="1"/>
  <c r="V12" i="8" s="1"/>
  <c r="W12" i="8"/>
  <c r="X12" i="8" s="1" a="1"/>
  <c r="X12" i="8" s="1"/>
  <c r="AQ11" i="8" a="1"/>
  <c r="AQ11" i="8" s="1"/>
  <c r="AU11" i="8"/>
  <c r="AV11" i="8" s="1" a="1"/>
  <c r="AV11" i="8" s="1"/>
  <c r="BG10" i="8" a="1"/>
  <c r="BG10" i="8" s="1"/>
  <c r="BK10" i="8"/>
  <c r="BL10" i="8" s="1" a="1"/>
  <c r="BL10" i="8" s="1"/>
  <c r="AT10" i="8" a="1"/>
  <c r="AT10" i="8" s="1"/>
  <c r="AU10" i="8"/>
  <c r="AV10" i="8" s="1" a="1"/>
  <c r="AV10" i="8" s="1"/>
  <c r="AL10" i="8" a="1"/>
  <c r="AL10" i="8" s="1"/>
  <c r="AM10" i="8"/>
  <c r="AN10" i="8" s="1" a="1"/>
  <c r="AN10" i="8" s="1"/>
  <c r="BG7" i="8" a="1"/>
  <c r="BG7" i="8" s="1"/>
  <c r="BK7" i="8"/>
  <c r="BL7" i="8" s="1" a="1"/>
  <c r="BL7" i="8" s="1"/>
  <c r="W13" i="8"/>
  <c r="X13" i="8" s="1" a="1"/>
  <c r="X13" i="8" s="1"/>
  <c r="BK12" i="8"/>
  <c r="BL12" i="8" s="1" a="1"/>
  <c r="BL12" i="8" s="1"/>
  <c r="AE12" i="8"/>
  <c r="AF12" i="8" s="1" a="1"/>
  <c r="AF12" i="8" s="1"/>
  <c r="BG11" i="8" a="1"/>
  <c r="BG11" i="8" s="1"/>
  <c r="W10" i="8"/>
  <c r="X10" i="8" s="1" a="1"/>
  <c r="X10" i="8" s="1"/>
  <c r="BM8" i="8" a="1"/>
  <c r="BM8" i="8" s="1"/>
  <c r="AA7" i="8" a="1"/>
  <c r="AA7" i="8" s="1"/>
  <c r="AE7" i="8"/>
  <c r="AF7" i="8" s="1" a="1"/>
  <c r="AF7" i="8" s="1"/>
  <c r="BM11" i="8" a="1"/>
  <c r="BM11" i="8" s="1"/>
  <c r="AA10" i="8" a="1"/>
  <c r="AA10" i="8" s="1"/>
  <c r="AE10" i="8"/>
  <c r="AF10" i="8" s="1" a="1"/>
  <c r="AF10" i="8" s="1"/>
  <c r="AM9" i="8"/>
  <c r="AN9" i="8" s="1" a="1"/>
  <c r="AN9" i="8" s="1"/>
  <c r="W9" i="8"/>
  <c r="X9" i="8" s="1" a="1"/>
  <c r="X9" i="8" s="1"/>
  <c r="AU8" i="8"/>
  <c r="AV8" i="8" s="1" a="1"/>
  <c r="AV8" i="8" s="1"/>
  <c r="AE8" i="8"/>
  <c r="AF8" i="8" s="1" a="1"/>
  <c r="AF8" i="8" s="1"/>
  <c r="AL6" i="8" a="1"/>
  <c r="AL6" i="8" s="1"/>
  <c r="AM6" i="8"/>
  <c r="AN6" i="8" s="1" a="1"/>
  <c r="AN6" i="8" s="1"/>
  <c r="AA6" i="8" a="1"/>
  <c r="AA6" i="8" s="1"/>
  <c r="AE6" i="8"/>
  <c r="AF6" i="8" s="1" a="1"/>
  <c r="AF6" i="8" s="1"/>
  <c r="BK8" i="8"/>
  <c r="BL8" i="8" s="1" a="1"/>
  <c r="BL8" i="8" s="1"/>
  <c r="S8" i="8" a="1"/>
  <c r="S8" i="8" s="1"/>
  <c r="W8" i="8"/>
  <c r="X8" i="8" s="1" a="1"/>
  <c r="X8" i="8" s="1"/>
  <c r="AY7" i="8" a="1"/>
  <c r="AY7" i="8" s="1"/>
  <c r="BC7" i="8"/>
  <c r="BD7" i="8" s="1" a="1"/>
  <c r="BD7" i="8" s="1"/>
  <c r="S11" i="8" a="1"/>
  <c r="S11" i="8" s="1"/>
  <c r="W11" i="8"/>
  <c r="X11" i="8" s="1" a="1"/>
  <c r="X11" i="8" s="1"/>
  <c r="AQ9" i="8" a="1"/>
  <c r="AQ9" i="8" s="1"/>
  <c r="AU9" i="8"/>
  <c r="AV9" i="8" s="1" a="1"/>
  <c r="AV9" i="8" s="1"/>
  <c r="AY8" i="8" a="1"/>
  <c r="AY8" i="8" s="1"/>
  <c r="BC8" i="8"/>
  <c r="BD8" i="8" s="1" a="1"/>
  <c r="BD8" i="8" s="1"/>
  <c r="AL8" i="8" a="1"/>
  <c r="AL8" i="8" s="1"/>
  <c r="AM8" i="8"/>
  <c r="AN8" i="8" s="1" a="1"/>
  <c r="AN8" i="8" s="1"/>
  <c r="BM6" i="8" a="1"/>
  <c r="BM6" i="8" s="1"/>
  <c r="BM7" i="8" a="1"/>
  <c r="BM7" i="8" s="1"/>
  <c r="AI7" i="8" a="1"/>
  <c r="AI7" i="8" s="1"/>
  <c r="AM7" i="8"/>
  <c r="AN7" i="8" s="1" a="1"/>
  <c r="AN7" i="8" s="1"/>
  <c r="W6" i="8"/>
  <c r="X6" i="8" s="1" a="1"/>
  <c r="X6" i="8" s="1"/>
  <c r="V5" i="8" a="1"/>
  <c r="V5" i="8" s="1"/>
  <c r="W5" i="8"/>
  <c r="X5" i="8" s="1" a="1"/>
  <c r="X5" i="8" s="1"/>
  <c r="BG6" i="8" a="1"/>
  <c r="BG6" i="8" s="1"/>
  <c r="BK6" i="8"/>
  <c r="BL6" i="8" s="1" a="1"/>
  <c r="BL6" i="8" s="1"/>
  <c r="AU6" i="8"/>
  <c r="AV6" i="8" s="1" a="1"/>
  <c r="AV6" i="8" s="1"/>
  <c r="BM5" i="8" a="1"/>
  <c r="BM5" i="8" s="1"/>
  <c r="S7" i="8" a="1"/>
  <c r="S7" i="8" s="1"/>
  <c r="W7" i="8"/>
  <c r="X7" i="8" s="1" a="1"/>
  <c r="X7" i="8" s="1"/>
  <c r="AQ5" i="8" a="1"/>
  <c r="AQ5" i="8" s="1"/>
  <c r="AU5" i="8"/>
  <c r="AV5" i="8" s="1" a="1"/>
  <c r="AV5" i="8" s="1"/>
  <c r="AY4" i="8" a="1"/>
  <c r="AY4" i="8" s="1"/>
  <c r="BC4" i="8"/>
  <c r="BD4" i="8" s="1" a="1"/>
  <c r="BD4" i="8" s="1"/>
  <c r="AQ4" i="8" a="1"/>
  <c r="AQ4" i="8" s="1"/>
  <c r="AU4" i="8"/>
  <c r="AV4" i="8" s="1" a="1"/>
  <c r="AV4" i="8" s="1"/>
  <c r="S4" i="8" a="1"/>
  <c r="S4" i="8" s="1"/>
  <c r="W4" i="8"/>
  <c r="X4" i="8" s="1" a="1"/>
  <c r="X4" i="8" s="1"/>
  <c r="BG3" i="8" a="1"/>
  <c r="BG3" i="8" s="1"/>
  <c r="BK3" i="8"/>
  <c r="BL3" i="8" s="1" a="1"/>
  <c r="BL3" i="8" s="1"/>
  <c r="AQ3" i="8" a="1"/>
  <c r="AQ3" i="8" s="1"/>
  <c r="AU3" i="8"/>
  <c r="AV3" i="8" s="1" a="1"/>
  <c r="AV3" i="8" s="1"/>
  <c r="S3" i="8" a="1"/>
  <c r="S3" i="8" s="1"/>
  <c r="W3" i="8"/>
  <c r="X3" i="8" s="1" a="1"/>
  <c r="X3" i="8" s="1"/>
  <c r="AE4" i="8"/>
  <c r="AF4" i="8" s="1" a="1"/>
  <c r="AF4" i="8" s="1"/>
  <c r="AD4" i="8" a="1"/>
  <c r="AD4" i="8" s="1"/>
  <c r="AI5" i="8" a="1"/>
  <c r="AI5" i="8" s="1"/>
  <c r="AM5" i="8"/>
  <c r="AN5" i="8" s="1" a="1"/>
  <c r="AN5" i="8" s="1"/>
  <c r="BM4" i="8" a="1"/>
  <c r="BM4" i="8" s="1"/>
  <c r="AY3" i="8" a="1"/>
  <c r="AY3" i="8" s="1"/>
  <c r="BC3" i="8"/>
  <c r="BD3" i="8" s="1" a="1"/>
  <c r="BD3" i="8" s="1"/>
  <c r="AA3" i="8" a="1"/>
  <c r="AA3" i="8" s="1"/>
  <c r="AE3" i="8"/>
  <c r="AF3" i="8" s="1" a="1"/>
  <c r="AF3" i="8" s="1"/>
  <c r="BM3" i="8" a="1"/>
  <c r="BM3" i="8" s="1"/>
  <c r="AM4" i="8"/>
  <c r="AN4" i="8" s="1" a="1"/>
  <c r="AN4" i="8" s="1"/>
  <c r="AM3" i="8"/>
  <c r="AN3" i="8" s="1" a="1"/>
  <c r="AN3" i="8" s="1"/>
  <c r="BG2" i="8" a="1"/>
  <c r="BG2" i="8" s="1"/>
  <c r="BC2" i="8"/>
  <c r="BD2" i="8" s="1" a="1"/>
  <c r="BD2" i="8" s="1"/>
  <c r="AU2" i="8"/>
  <c r="AV2" i="8" s="1" a="1"/>
  <c r="AV2" i="8" s="1"/>
  <c r="AM2" i="8"/>
  <c r="AN2" i="8" s="1" a="1"/>
  <c r="AN2" i="8" s="1"/>
  <c r="AC2" i="8" a="1"/>
  <c r="AC2" i="8" s="1"/>
  <c r="AD2" i="8" s="1" a="1"/>
  <c r="AD2" i="8" s="1"/>
  <c r="Z2" i="8" a="1"/>
  <c r="Z2" i="8" s="1"/>
  <c r="T2" i="8" a="1"/>
  <c r="T2" i="8" s="1"/>
  <c r="U2" i="8" s="1" a="1"/>
  <c r="U2" i="8" s="1"/>
  <c r="V2" i="8" s="1" a="1"/>
  <c r="V2" i="8" s="1"/>
  <c r="R2" i="8" a="1"/>
  <c r="R2" i="8" s="1"/>
  <c r="S2" i="8" s="1" a="1"/>
  <c r="S2" i="8" s="1"/>
  <c r="BM2" i="8" l="1" a="1"/>
  <c r="BM2" i="8" s="1"/>
  <c r="AA2" i="8" a="1"/>
  <c r="AA2" i="8" s="1"/>
  <c r="AE2" i="8"/>
  <c r="AF2" i="8" s="1" a="1"/>
  <c r="AF2" i="8" s="1"/>
  <c r="W2" i="8"/>
  <c r="X2" i="8" s="1" a="1"/>
  <c r="X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<sst xmlns="http://schemas.openxmlformats.org/spreadsheetml/2006/main" count="217" uniqueCount="105">
  <si>
    <t>R.N.</t>
  </si>
  <si>
    <t>Regd. No.</t>
  </si>
  <si>
    <t>Exam Roll No.</t>
  </si>
  <si>
    <t>NAME</t>
  </si>
  <si>
    <t>English (75)</t>
  </si>
  <si>
    <t>Nepali (75)</t>
  </si>
  <si>
    <t>Math (75)</t>
  </si>
  <si>
    <t>Physics (75)</t>
  </si>
  <si>
    <t>chemistry (75)</t>
  </si>
  <si>
    <t>Biology (75)</t>
  </si>
  <si>
    <t>computer(50)</t>
  </si>
  <si>
    <t>BorC</t>
  </si>
  <si>
    <t>Eng_TH_GP</t>
  </si>
  <si>
    <t>Eng_TH_G</t>
  </si>
  <si>
    <t>English(25)</t>
  </si>
  <si>
    <t>Eng_IN_GP</t>
  </si>
  <si>
    <t>Eng_IN_G</t>
  </si>
  <si>
    <t>Eng_Avg_GP</t>
  </si>
  <si>
    <t>Final_Eng_G</t>
  </si>
  <si>
    <t>Nep_TH_GP</t>
  </si>
  <si>
    <t>Nep_TH_G</t>
  </si>
  <si>
    <t>Nepali(25)</t>
  </si>
  <si>
    <t>Nep_IN_GP</t>
  </si>
  <si>
    <t>Nep_IN_G</t>
  </si>
  <si>
    <t>Nep_Avg_GP</t>
  </si>
  <si>
    <t>Nep_Final_G</t>
  </si>
  <si>
    <t>Phy_TH_GP</t>
  </si>
  <si>
    <t>Phy_TH_G</t>
  </si>
  <si>
    <t>Phyics(25)</t>
  </si>
  <si>
    <t>Phy_IN_GP</t>
  </si>
  <si>
    <t>Phy_IN_G</t>
  </si>
  <si>
    <t>Phy_Avg_GP</t>
  </si>
  <si>
    <t>Phy_final_G</t>
  </si>
  <si>
    <t>Chem_TH_GP</t>
  </si>
  <si>
    <t>Chem_TH_G</t>
  </si>
  <si>
    <t>Chemistry(25)</t>
  </si>
  <si>
    <t>Chem_IN_GP</t>
  </si>
  <si>
    <t>Chem_IN_G</t>
  </si>
  <si>
    <t>Chem_Avg_GP</t>
  </si>
  <si>
    <t>Chem_Final_G</t>
  </si>
  <si>
    <t>Math_TH_GP</t>
  </si>
  <si>
    <t>Math_TH_G</t>
  </si>
  <si>
    <t>Math(25)</t>
  </si>
  <si>
    <t>Math_IN_GP</t>
  </si>
  <si>
    <t>Math_IN_G</t>
  </si>
  <si>
    <t>Math_Avg_GP</t>
  </si>
  <si>
    <t>Math_Final_G</t>
  </si>
  <si>
    <t>Bio_TH_GP</t>
  </si>
  <si>
    <t>Bio_Th_G</t>
  </si>
  <si>
    <t>Biology(25)</t>
  </si>
  <si>
    <t>Bio_IN_GP</t>
  </si>
  <si>
    <t>Bio_IN_G</t>
  </si>
  <si>
    <t>Bio_Avg_GP</t>
  </si>
  <si>
    <t>Bio_Final_G</t>
  </si>
  <si>
    <t>Comp_TH_GP</t>
  </si>
  <si>
    <t>Comp_TH_G</t>
  </si>
  <si>
    <t>Computer(50)</t>
  </si>
  <si>
    <t>Comp_IN_GP</t>
  </si>
  <si>
    <t>Comp_IN_G</t>
  </si>
  <si>
    <t>Comp_Avg_GP</t>
  </si>
  <si>
    <t>Comp_Final_G</t>
  </si>
  <si>
    <t>Final_GPA</t>
  </si>
  <si>
    <t>Computer</t>
  </si>
  <si>
    <t>-</t>
  </si>
  <si>
    <t>Biology</t>
  </si>
  <si>
    <t>DOB(BS)</t>
  </si>
  <si>
    <t>DOB(AD)</t>
  </si>
  <si>
    <t>AAGYA LAMICHHANE</t>
  </si>
  <si>
    <t>AARATI SHRESTHA</t>
  </si>
  <si>
    <t>AAYUSH POKHAREL</t>
  </si>
  <si>
    <t>AJIT KOIRALA</t>
  </si>
  <si>
    <t>ANKIT YADAV</t>
  </si>
  <si>
    <t>ANU KUMARI HAJAM</t>
  </si>
  <si>
    <t>BIBISHA BHANDARI</t>
  </si>
  <si>
    <t>CHINTAN BAHADUR SINGH</t>
  </si>
  <si>
    <t>PHULMAYA MALLA</t>
  </si>
  <si>
    <t>HIMAL KHANAL</t>
  </si>
  <si>
    <t>PRIJAN SINGH THAKURI</t>
  </si>
  <si>
    <t>MANISH GAUTAM</t>
  </si>
  <si>
    <t>MANISHA MALLA</t>
  </si>
  <si>
    <t>MOHAMMAD OBJEAD ZAFER</t>
  </si>
  <si>
    <t>NIRJAL RAJBHANDARI</t>
  </si>
  <si>
    <t>NITU KUMARI CHAUDHARY</t>
  </si>
  <si>
    <t>PRASASTA POUDEL</t>
  </si>
  <si>
    <t>PRATIKSHYA SHRESTHA</t>
  </si>
  <si>
    <t>PREETI KUMARI CHAUDHARY</t>
  </si>
  <si>
    <t>PREM KUMARI THAPA MAGAR</t>
  </si>
  <si>
    <t>PURNIMA SIGDEL</t>
  </si>
  <si>
    <t>RAKESH BAITHA</t>
  </si>
  <si>
    <t>RENISA SHRESTHA</t>
  </si>
  <si>
    <t>RICHU MAHARJAN</t>
  </si>
  <si>
    <t>ROSHAN ACHARYA</t>
  </si>
  <si>
    <t>ROHAN THAPA MAGAR</t>
  </si>
  <si>
    <t>SARITA TAMANG</t>
  </si>
  <si>
    <t>SAMIKSHYA SAPKOTA</t>
  </si>
  <si>
    <t>SRIYESH KOIRALA</t>
  </si>
  <si>
    <t>SHOVA KUMARI CHAUDHARY</t>
  </si>
  <si>
    <t>SHOWSHTEEKA BAL</t>
  </si>
  <si>
    <t>SNEHA GURUNG</t>
  </si>
  <si>
    <t>SOFIYA THAPA</t>
  </si>
  <si>
    <t>SOYEKCHA GURUNG</t>
  </si>
  <si>
    <t>SUJAL HIMALI</t>
  </si>
  <si>
    <t>SUSHANT BOHARA</t>
  </si>
  <si>
    <t>AAYOUSHMA CHAUDHARY</t>
  </si>
  <si>
    <t>SAMJHANA SHAHI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</si>
</sst>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2" xfId="0" applyBorder="1"/>
    <xf numFmtId="2" fontId="0" fillId="0" borderId="0" xfId="0" applyNumberFormat="1"/>
    <xf numFmtId="164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003-Nepali%20Date%20Add-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bs2a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9EBB-BF95-4EC2-A4A6-FC350581292B}">
  <dimension ref="A1:BM39"/>
  <sheetViews>
    <sheetView tabSelected="1" workbookViewId="0">
      <selection sqref="A1:XFD1048576"/>
    </sheetView>
  </sheetViews>
  <sheetFormatPr defaultRowHeight="18.75" x14ac:dyDescent="0.25"/>
  <cols>
    <col min="1" max="1" width="6.42578125" bestFit="1" customWidth="1"/>
    <col min="2" max="2" width="18.7109375" style="7" bestFit="1" customWidth="1"/>
    <col min="3" max="3" width="14" bestFit="1" customWidth="1"/>
    <col min="4" max="4" width="41" bestFit="1" customWidth="1"/>
    <col min="5" max="5" width="12" bestFit="1" customWidth="1"/>
    <col min="6" max="6" width="13.42578125" style="10" customWidth="1"/>
    <col min="7" max="8" width="13.42578125" customWidth="1"/>
    <col min="9" max="9" width="11.140625" customWidth="1"/>
    <col min="10" max="10" width="10.85546875" customWidth="1"/>
    <col min="11" max="11" width="9.7109375" customWidth="1"/>
    <col min="12" max="12" width="10.7109375" customWidth="1"/>
    <col min="13" max="13" width="10.5703125" customWidth="1"/>
    <col min="14" max="14" width="9.42578125" customWidth="1"/>
    <col min="15" max="15" width="11.85546875" customWidth="1"/>
    <col min="16" max="16" width="11.7109375" customWidth="1"/>
    <col min="17" max="17" width="10.7109375" customWidth="1"/>
    <col min="18" max="18" width="11.42578125" customWidth="1"/>
    <col min="19" max="20" width="10.28515625" customWidth="1"/>
    <col min="21" max="21" width="11.140625" customWidth="1"/>
    <col min="22" max="22" width="10" customWidth="1"/>
    <col min="23" max="23" width="12.42578125" customWidth="1"/>
    <col min="24" max="24" width="12.28515625" customWidth="1"/>
    <col min="25" max="25" width="11.28515625" customWidth="1"/>
    <col min="26" max="26" width="11" customWidth="1"/>
    <col min="27" max="27" width="9.85546875" customWidth="1"/>
    <col min="28" max="28" width="10" customWidth="1"/>
    <col min="29" max="29" width="10.7109375" customWidth="1"/>
    <col min="30" max="30" width="9.5703125" customWidth="1"/>
    <col min="31" max="31" width="12" customWidth="1"/>
    <col min="32" max="32" width="11.5703125" customWidth="1"/>
    <col min="33" max="33" width="13.7109375" customWidth="1"/>
    <col min="34" max="34" width="12.85546875" customWidth="1"/>
    <col min="35" max="35" width="11.7109375" customWidth="1"/>
    <col min="36" max="36" width="13.5703125" customWidth="1"/>
    <col min="37" max="37" width="12.5703125" customWidth="1"/>
    <col min="38" max="38" width="11.42578125" customWidth="1"/>
    <col min="39" max="39" width="14" customWidth="1"/>
    <col min="40" max="40" width="13.85546875" customWidth="1"/>
    <col min="41" max="48" width="9.42578125" customWidth="1"/>
    <col min="49" max="56" width="11.42578125" customWidth="1"/>
    <col min="57" max="57" width="13.140625" bestFit="1" customWidth="1"/>
    <col min="58" max="58" width="12.85546875" bestFit="1" customWidth="1"/>
    <col min="60" max="60" width="13.42578125" bestFit="1" customWidth="1"/>
    <col min="61" max="61" width="12.5703125" bestFit="1" customWidth="1"/>
    <col min="64" max="64" width="13.85546875" bestFit="1" customWidth="1"/>
  </cols>
  <sheetData>
    <row r="1" spans="1:65" x14ac:dyDescent="0.25">
      <c r="A1" s="2" t="s">
        <v>0</v>
      </c>
      <c r="B1" s="6" t="s">
        <v>1</v>
      </c>
      <c r="C1" s="1" t="s">
        <v>2</v>
      </c>
      <c r="D1" s="2" t="s">
        <v>3</v>
      </c>
      <c r="E1" s="2" t="s">
        <v>11</v>
      </c>
      <c r="F1" s="11" t="s">
        <v>65</v>
      </c>
      <c r="G1" s="2" t="s">
        <v>65</v>
      </c>
      <c r="H1" s="2" t="s">
        <v>66</v>
      </c>
      <c r="I1" s="4" t="s">
        <v>4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5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7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8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6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9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10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8" t="s">
        <v>61</v>
      </c>
    </row>
    <row r="2" spans="1:65" x14ac:dyDescent="0.3">
      <c r="A2" s="2">
        <v>101</v>
      </c>
      <c r="B2" s="12">
        <v>793270280001</v>
      </c>
      <c r="C2" s="13">
        <v>12706852</v>
      </c>
      <c r="D2" s="14" t="s">
        <v>67</v>
      </c>
      <c r="E2" s="3" t="s">
        <v>64</v>
      </c>
      <c r="F2" s="15">
        <v>59120</v>
      </c>
      <c r="G2" s="3" t="str">
        <f>TEXT(F2,"yyyy/mm/dd")</f>
        <v>2061/11/10</v>
      </c>
      <c r="H2" s="3" t="str" cm="1">
        <f t="array" ref="H2">[1]!bs2ad(G2)</f>
        <v>2005-2-21</v>
      </c>
      <c r="I2" s="4">
        <v>62</v>
      </c>
      <c r="J2" s="5" cm="1">
        <f t="array" ref="J2">_xlfn.IFS(I2/75*100&gt;=90,4,I2/75*100&gt;=80,3.6,I2/75*100&gt;=70,3.2,I2/75*100&gt;=60,2.8,I2/75*100&gt;=50,2.4,I2/75*100&gt;=40,2,I2/75*100&gt;=35,1.6,TRUE, 0)</f>
        <v>3.6</v>
      </c>
      <c r="K2" s="5" t="str" cm="1">
        <f t="array" ref="K2">_xlfn.IFS(J2=4,"A+",J2=3.6,"A",J2=3.2,"B+",J2=2.8,"B",J2=2.4,"C+",J2=2,"C",J2=1.6,"D",TRUE,"NG")</f>
        <v>A</v>
      </c>
      <c r="L2" s="4">
        <v>25</v>
      </c>
      <c r="M2" s="5" cm="1">
        <f t="array" ref="M2">_xlfn.IFS(L2/25*100&gt;=90,4,L2/25*100&gt;=80,3.6,L2/25*100&gt;=70,3.2,L2/25*100&gt;=60,2.8,L2/25*100&gt;=50,2.4,L2/25*100&gt;=40,2,L2/25*100&gt;=35,1.6,TRUE, 0)</f>
        <v>4</v>
      </c>
      <c r="N2" s="5" t="str" cm="1">
        <f t="array" ref="N2">_xlfn.IFS(M2=4,"A+",M2=3.6,"A",M2=3.2,"B+",M2=2.8,"B",M2=2.4,"C+",M2=2,"C",M2=1.6,"D",TRUE,"NG")</f>
        <v>A+</v>
      </c>
      <c r="O2" s="5">
        <f>(J2*3+M2*1)/4</f>
        <v>3.7</v>
      </c>
      <c r="P2" s="5" t="str" cm="1">
        <f t="array" ref="P2">_xlfn.IFS(AND(O2&lt;=4,O2&gt;3.6),"A+",AND(O2&lt;=3.6,O2&gt;3.2),"A",AND(O2&lt;=3.2,O2&gt;2.8),"B+",AND(O2&lt;=2.8,O2&gt;2.4),"B",AND(O2&lt;=2.4,O2&gt;2),"C+",AND(O2&lt;=2,O2&gt;1.6),"C",O2=1.6,"D",TRUE,"NG")</f>
        <v>A+</v>
      </c>
      <c r="Q2" s="4">
        <v>64</v>
      </c>
      <c r="R2" s="5" cm="1">
        <f t="array" ref="R2">_xlfn.IFS(Q2/75*100&gt;=90,4,Q2/75*100&gt;=80,3.6,Q2/75*100&gt;=70,3.2,Q2/75*100&gt;=60,2.8,Q2/75*100&gt;=50,2.4,Q2/75*100&gt;=40,2,Q2/75*100&gt;=35,1.6,TRUE, 0)</f>
        <v>3.6</v>
      </c>
      <c r="S2" s="5" t="str" cm="1">
        <f t="array" ref="S2">_xlfn.IFS(R2=4,"A+",R2=3.6,"A",R2=3.2,"B+",R2=2.8,"B",R2=2.4,"C+",R2=2,"C",R2=1.6,"D",TRUE,"NG")</f>
        <v>A</v>
      </c>
      <c r="T2" s="5" cm="1">
        <f t="array" ref="T2">_xlfn.IFS(Q2&gt;=70,25,Q2&gt;=60,24,Q2&gt;=50,23,Q2&gt;=40,22,Q2&gt;=30,21,TRUE,20)</f>
        <v>24</v>
      </c>
      <c r="U2" s="5" cm="1">
        <f t="array" ref="U2">_xlfn.IFS(T2/25*100&gt;=90,4,T2/25*100&gt;=80,3.6,T2/25*100&gt;=70,3.2,T2/25*100&gt;=60,2.8,T2/25*100&gt;=50,2.4,T2/25*100&gt;=40,2,T2/25*100&gt;=35,1.6,TRUE, 0)</f>
        <v>4</v>
      </c>
      <c r="V2" s="5" t="str" cm="1">
        <f t="array" ref="V2">_xlfn.IFS(U2=4,"A+",U2=3.6,"A",U2=3.2,"B+",U2=2.8,"B",U2=2.4,"C+",U2=2,"C",U2=1.6,"D",TRUE,"NG")</f>
        <v>A+</v>
      </c>
      <c r="W2" s="5">
        <f>(R2*2.25+U2*0.75)/3</f>
        <v>3.6999999999999997</v>
      </c>
      <c r="X2" s="5" t="str" cm="1">
        <f t="array" ref="X2">_xlfn.IFS(AND(W2&lt;=4,W2&gt;3.6),"A+",AND(W2&lt;=3.6,W2&gt;3.2),"A",AND(W2&lt;=3.2,W2&gt;2.8),"B+",AND(W2&lt;=2.8,W2&gt;2.4),"B",AND(W2&lt;=2.4,W2&gt;2),"C+",AND(W2&lt;=2,W2&gt;1.6),"C",W2=1.6,"D",TRUE,"NG")</f>
        <v>A+</v>
      </c>
      <c r="Y2" s="4">
        <v>60</v>
      </c>
      <c r="Z2" s="5" cm="1">
        <f t="array" ref="Z2">_xlfn.IFS(Y2/75*100&gt;=90,4,Y2/75*100&gt;=80,3.6,Y2/75*100&gt;=70,3.2,Y2/75*100&gt;=60,2.8,Y2/75*100&gt;=50,2.4,Y2/75*100&gt;=40,2,Y2/75*100&gt;=35,1.6,TRUE, 0)</f>
        <v>3.6</v>
      </c>
      <c r="AA2" s="5" t="str" cm="1">
        <f t="array" ref="AA2">_xlfn.IFS(Z2=4,"A+",Z2=3.6,"A",Z2=3.2,"B+",Z2=2.8,"B",Z2=2.4,"C+",Z2=2,"C",Z2=1.6,"D",TRUE,"NG")</f>
        <v>A</v>
      </c>
      <c r="AB2" s="4">
        <v>25</v>
      </c>
      <c r="AC2" s="5" cm="1">
        <f t="array" ref="AC2">_xlfn.IFS(AB2/25*100&gt;=90,4,AB2/25*100&gt;=80,3.6,AB2/25*100&gt;=70,3.2,AB2/25*100&gt;=60,2.8,AB2/25*100&gt;=50,2.4,AB2/25*100&gt;=40,2,AB2/25*100&gt;=35,1.6,TRUE, 0)</f>
        <v>4</v>
      </c>
      <c r="AD2" s="5" t="str" cm="1">
        <f t="array" ref="AD2">_xlfn.IFS(AC2=4,"A+",AC2=3.6,"A",AC2=3.2,"B+",AC2=2.8,"B",AC2=2.4,"C+",AC2=2,"C",AC2=1.6,"D",TRUE,"NG")</f>
        <v>A+</v>
      </c>
      <c r="AE2" s="5">
        <f>(Z2*3.75+AC2*1.25)/5</f>
        <v>3.7</v>
      </c>
      <c r="AF2" s="5" t="str" cm="1">
        <f t="array" ref="AF2">_xlfn.IFS(AND(AE2&lt;=4,AE2&gt;3.6),"A+",AND(AE2&lt;=3.6,AE2&gt;3.2),"A",AND(AE2&lt;=3.2,AE2&gt;2.8),"B+",AND(AE2&lt;=2.8,AE2&gt;2.4),"B",AND(AE2&lt;=2.4,AE2&gt;2),"C+",AND(AE2&lt;=2,AE2&gt;1.6),"C",AE2=1.6,"D",TRUE,"NG")</f>
        <v>A+</v>
      </c>
      <c r="AG2" s="4">
        <v>62</v>
      </c>
      <c r="AH2" s="5" cm="1">
        <f t="array" ref="AH2">_xlfn.IFS(AG2/75*100&gt;=90,4,AG2/75*100&gt;=80,3.6,AG2/75*100&gt;=70,3.2,AG2/75*100&gt;=60,2.8,AG2/75*100&gt;=50,2.4,AG2/75*100&gt;=40,2,AG2/75*100&gt;=35,1.6,TRUE, 0)</f>
        <v>3.6</v>
      </c>
      <c r="AI2" s="5" t="str" cm="1">
        <f t="array" ref="AI2">_xlfn.IFS(AH2=4,"A+",AH2=3.6,"A",AH2=3.2,"B+",AH2=2.8,"B",AH2=2.4,"C+",AH2=2,"C",AH2=1.6,"D",TRUE,"NG")</f>
        <v>A</v>
      </c>
      <c r="AJ2" s="4">
        <v>25</v>
      </c>
      <c r="AK2" s="5" cm="1">
        <f t="array" ref="AK2">_xlfn.IFS(AJ2/25*100&gt;=90,4,AJ2/25*100&gt;=80,3.6,AJ2/25*100&gt;=70,3.2,AJ2/25*100&gt;=60,2.8,AJ2/25*100&gt;=50,2.4,AJ2/25*100&gt;=40,2,AJ2/25*100&gt;=35,1.6,TRUE, 0)</f>
        <v>4</v>
      </c>
      <c r="AL2" s="5" t="str" cm="1">
        <f t="array" ref="AL2">_xlfn.IFS(AK2=4,"A+",AK2=3.6,"A",AK2=3.2,"B+",AK2=2.8,"B",AK2=2.4,"C+",AK2=2,"C",AK2=1.6,"D",TRUE,"NG")</f>
        <v>A+</v>
      </c>
      <c r="AM2" s="5">
        <f>(AH2*3.75+AK2*1.25)/5</f>
        <v>3.7</v>
      </c>
      <c r="AN2" s="5" t="str" cm="1">
        <f t="array" ref="AN2">_xlfn.IFS(AND(AM2&lt;=4,AM2&gt;3.6),"A+",AND(AM2&lt;=3.6,AM2&gt;3.2),"A",AND(AM2&lt;=3.2,AM2&gt;2.8),"B+",AND(AM2&lt;=2.8,AM2&gt;2.4),"B",AND(AM2&lt;=2.4,AM2&gt;2),"C+",AND(AM2&lt;=2,AM2&gt;1.6),"C",AM2=1.6,"D",TRUE,"NG")</f>
        <v>A+</v>
      </c>
      <c r="AO2" s="4">
        <v>49</v>
      </c>
      <c r="AP2" s="5" cm="1">
        <f t="array" ref="AP2">_xlfn.IFS(AO2/75*100&gt;=90,4,AO2/75*100&gt;=80,3.6,AO2/75*100&gt;=70,3.2,AO2/75*100&gt;=60,2.8,AO2/75*100&gt;=50,2.4,AO2/75*100&gt;=40,2,AO2/75*100&gt;=35,1.6,TRUE, 0)</f>
        <v>2.8</v>
      </c>
      <c r="AQ2" s="5" t="str" cm="1">
        <f t="array" ref="AQ2">_xlfn.IFS(AP2=4,"A+",AP2=3.6,"A",AP2=3.2,"B+",AP2=2.8,"B",AP2=2.4,"C+",AP2=2,"C",AP2=1.6,"D",TRUE,"NG")</f>
        <v>B</v>
      </c>
      <c r="AR2" s="5" cm="1">
        <f t="array" ref="AR2">_xlfn.IFS(AO2&gt;=70,25,AO2&gt;=60,24,AO2&gt;=50,23,AO2&gt;=40,22,AO2&gt;=30,21,TRUE,20)</f>
        <v>22</v>
      </c>
      <c r="AS2" s="5" cm="1">
        <f t="array" ref="AS2">_xlfn.IFS(AR2/25*100&gt;=90,4,AR2/25*100&gt;=80,3.6,AR2/25*100&gt;=70,3.2,AR2/25*100&gt;=60,2.8,AR2/25*100&gt;=50,2.4,AR2/25*100&gt;=40,2,AR2/25*100&gt;=35,1.6,TRUE, 0)</f>
        <v>3.6</v>
      </c>
      <c r="AT2" s="5" t="str" cm="1">
        <f t="array" ref="AT2">_xlfn.IFS(AS2=4,"A+",AS2=3.6,"A",AS2=3.2,"B+",AS2=2.8,"B",AS2=2.4,"C+",AS2=2,"C",AS2=1.6,"D",TRUE,"NG")</f>
        <v>A</v>
      </c>
      <c r="AU2" s="5">
        <f>(AP2*3.75+AS2*1.25)/5</f>
        <v>3</v>
      </c>
      <c r="AV2" s="5" t="str" cm="1">
        <f t="array" ref="AV2">_xlfn.IFS(AND(AU2&lt;=4,AU2&gt;3.6),"A+",AND(AU2&lt;=3.6,AU2&gt;3.2),"A",AND(AU2&lt;=3.2,AU2&gt;2.8),"B+",AND(AU2&lt;=2.8,AU2&gt;2.4),"B",AND(AU2&lt;=2.4,AU2&gt;2),"C+",AND(AU2&lt;=2,AU2&gt;1.6),"C",AU2=1.6,"D",TRUE,"NG")</f>
        <v>B+</v>
      </c>
      <c r="AW2" s="4">
        <v>52</v>
      </c>
      <c r="AX2" s="5" cm="1">
        <f t="array" ref="AX2">_xlfn.IFS(AW2="-","-",AW2/75*100&gt;=90,4,AW2/75*100&gt;=80,3.6,AW2/75*100&gt;=70,3.2,AW2/75*100&gt;=60,2.8,AW2/75*100&gt;=50,2.4,AW2/75*100&gt;=40,2,AW2/75*100&gt;=35,1.6,TRUE, 0)</f>
        <v>2.8</v>
      </c>
      <c r="AY2" s="5" t="str" cm="1">
        <f t="array" ref="AY2">_xlfn.IFS(AX2="-","-",AX2=4,"A+",AX2=3.6,"A",AX2=3.2,"B+",AX2=2.8,"B",AX2=2.4,"C+",AX2=2,"C",AX2=1.6,"D",TRUE,"NG")</f>
        <v>B</v>
      </c>
      <c r="AZ2" s="4">
        <v>24</v>
      </c>
      <c r="BA2" s="5" cm="1">
        <f t="array" ref="BA2">_xlfn.IFS(AZ2="-","-",AZ2/25*100&gt;=90,4,AZ2/25*100&gt;=80,3.6,AZ2/25*100&gt;=70,3.2,AZ2/25*100&gt;=60,2.8,AZ2/25*100&gt;=50,2.4,AZ2/25*100&gt;=40,2,AZ2/25*100&gt;=35,1.6,TRUE, 0)</f>
        <v>4</v>
      </c>
      <c r="BB2" s="5" t="str" cm="1">
        <f t="array" ref="BB2">_xlfn.IFS(BA2="-","-",BA2=4,"A+",BA2=3.6,"A",BA2=3.2,"B+",BA2=2.8,"B",BA2=2.4,"C+",BA2=2,"C",BA2=1.6,"D",TRUE,"NG")</f>
        <v>A+</v>
      </c>
      <c r="BC2" s="5">
        <f>IF(AX2="-","-",(AX2*3.75+BA2*1.25)/5)</f>
        <v>3.1</v>
      </c>
      <c r="BD2" s="5" t="str" cm="1">
        <f t="array" ref="BD2">_xlfn.IFS(BC2="-","-",AND(BC2&lt;=4,BC2&gt;3.6),"A+",AND(BC2&lt;=3.6,BC2&gt;3.2),"A",AND(BC2&lt;=3.2,BC2&gt;2.8),"B+",AND(BC2&lt;=2.8,BC2&gt;2.4),"B",AND(BC2&lt;=2.4,BC2&gt;2),"C+",AND(BC2&lt;=2,BC2&gt;1.6),"C",BC2=1.6,"D",TRUE,"NG")</f>
        <v>B+</v>
      </c>
      <c r="BE2" s="4" t="s">
        <v>63</v>
      </c>
      <c r="BF2" t="str" cm="1">
        <f t="array" ref="BF2">_xlfn.IFS(BE2="-","-",BE2/50*100&gt;=90,4,BE2/50*100&gt;=80,3.6,BE2/50*100&gt;=70,3.2,BE2/50*100&gt;=60,2.8,BE2/50*100&gt;=50,2.4,BE2/50*100&gt;=40,2,BE2/50*100&gt;=35,1.6,TRUE, 0)</f>
        <v>-</v>
      </c>
      <c r="BG2" t="str" cm="1">
        <f t="array" ref="BG2">_xlfn.IFS(BF2="-","-",BF2=4,"A+",BF2=3.6,"A",BF2=3.2,"B+",BF2=2.8,"B",BF2=2.4,"C+",BF2=2,"C",BF2=1.6,"D",TRUE,"NG")</f>
        <v>-</v>
      </c>
      <c r="BH2" s="4" t="s">
        <v>63</v>
      </c>
      <c r="BI2" t="str" cm="1">
        <f t="array" ref="BI2">_xlfn.IFS(BH2="-","-",BH2/50*100&gt;=90,4,BH2/50*100&gt;=80,3.6,BH2/50*100&gt;=70,3.2,BH2/50*100&gt;=60,2.8,BH2/50*100&gt;=50,2.4,BH2/50*100&gt;=40,2,BH2/50*100&gt;=35,1.6,TRUE, 0)</f>
        <v>-</v>
      </c>
      <c r="BJ2" t="str" cm="1">
        <f t="array" ref="BJ2">_xlfn.IFS(BI2="-","-",BI2=4,"A+",BI2=3.6,"A",BI2=3.2,"B+",BI2=2.8,"B",BI2=2.4,"C+",BI2=2,"C",BI2=1.6,"D",TRUE,"NG")</f>
        <v>-</v>
      </c>
      <c r="BK2" t="str">
        <f>IF(BF2="-","-",(BF2*2.5+BI2*2.5)/5)</f>
        <v>-</v>
      </c>
      <c r="BL2" t="str" cm="1">
        <f t="array" ref="BL2">_xlfn.IFS(BK2="-","-",AND(BK2&lt;=4,BK2&gt;3.6),"A+",AND(BK2&lt;=3.6,BK2&gt;3.2),"A",AND(BK2&lt;=3.2,BK2&gt;2.8),"B+",AND(BK2&lt;=2.8,BK2&gt;2.4),"B",AND(BK2&lt;=2.4,BK2&gt;2),"C+",AND(BK2&lt;=2,BK2&gt;1.6),"C",BK2=1.6,"D",TRUE,"NG")</f>
        <v>-</v>
      </c>
      <c r="BM2" s="9" cm="1">
        <f t="array" ref="BM2">_xlfn.IFS(AW2&lt;&gt;"-",((J2*3+M2*1)+(R2*2.25+U2*0.75)+(Z2*3.75+AC2*1.25)+(AH2*3.75+AK2*1.25)+(AP2*3.75+AS2*1.25)+(AX2*3.75+BA2*1.25))/(4+3+5*4),BE2&lt;&gt;"-",((J2*3+M2*1)+(R2*2.25+U2*0.75)+(Z2*3.75+AC2*1.25)+(AH2*3.75+AK2*1.25)+(AP2*3.75+AS2*1.25)+(BF2*2.5+BI2*2.5))/(4+3+5*4))</f>
        <v>3.4592592592592593</v>
      </c>
    </row>
    <row r="3" spans="1:65" x14ac:dyDescent="0.3">
      <c r="A3" s="2">
        <v>102</v>
      </c>
      <c r="B3" s="12">
        <v>793270280002</v>
      </c>
      <c r="C3" s="13">
        <v>12706853</v>
      </c>
      <c r="D3" s="14" t="s">
        <v>68</v>
      </c>
      <c r="E3" s="3" t="s">
        <v>64</v>
      </c>
      <c r="F3" s="15">
        <v>59598</v>
      </c>
      <c r="G3" s="3" t="str">
        <f t="shared" ref="G3:G39" si="0">TEXT(F3,"yyyy/mm/dd")</f>
        <v>2063/03/03</v>
      </c>
      <c r="H3" s="3" t="str" cm="1">
        <f t="array" ref="H3">[1]!bs2ad(G3)</f>
        <v>2006-6-17</v>
      </c>
      <c r="I3" s="4">
        <v>53</v>
      </c>
      <c r="J3" s="5" cm="1">
        <f t="array" ref="J3">_xlfn.IFS(I3/75*100&gt;=90,4,I3/75*100&gt;=80,3.6,I3/75*100&gt;=70,3.2,I3/75*100&gt;=60,2.8,I3/75*100&gt;=50,2.4,I3/75*100&gt;=40,2,I3/75*100&gt;=35,1.6,TRUE, 0)</f>
        <v>3.2</v>
      </c>
      <c r="K3" s="5" t="str" cm="1">
        <f t="array" ref="K3">_xlfn.IFS(J3=4,"A+",J3=3.6,"A",J3=3.2,"B+",J3=2.8,"B",J3=2.4,"C+",J3=2,"C",J3=1.6,"D",TRUE,"NG")</f>
        <v>B+</v>
      </c>
      <c r="L3" s="4">
        <v>25</v>
      </c>
      <c r="M3" s="5" cm="1">
        <f t="array" ref="M3">_xlfn.IFS(L3/25*100&gt;=90,4,L3/25*100&gt;=80,3.6,L3/25*100&gt;=70,3.2,L3/25*100&gt;=60,2.8,L3/25*100&gt;=50,2.4,L3/25*100&gt;=40,2,L3/25*100&gt;=35,1.6,TRUE, 0)</f>
        <v>4</v>
      </c>
      <c r="N3" s="5" t="str" cm="1">
        <f t="array" ref="N3">_xlfn.IFS(M3=4,"A+",M3=3.6,"A",M3=3.2,"B+",M3=2.8,"B",M3=2.4,"C+",M3=2,"C",M3=1.6,"D",TRUE,"NG")</f>
        <v>A+</v>
      </c>
      <c r="O3" s="5">
        <f t="shared" ref="O3:O39" si="1">(J3*3+M3*1)/4</f>
        <v>3.4000000000000004</v>
      </c>
      <c r="P3" s="5" t="str" cm="1">
        <f t="array" ref="P3">_xlfn.IFS(AND(O3&lt;=4,O3&gt;3.6),"A+",AND(O3&lt;=3.6,O3&gt;3.2),"A",AND(O3&lt;=3.2,O3&gt;2.8),"B+",AND(O3&lt;=2.8,O3&gt;2.4),"B",AND(O3&lt;=2.4,O3&gt;2),"C+",AND(O3&lt;=2,O3&gt;1.6),"C",O3=1.6,"D",TRUE,"NG")</f>
        <v>A</v>
      </c>
      <c r="Q3" s="4">
        <v>49</v>
      </c>
      <c r="R3" s="5" cm="1">
        <f t="array" ref="R3">_xlfn.IFS(Q3/75*100&gt;=90,4,Q3/75*100&gt;=80,3.6,Q3/75*100&gt;=70,3.2,Q3/75*100&gt;=60,2.8,Q3/75*100&gt;=50,2.4,Q3/75*100&gt;=40,2,Q3/75*100&gt;=35,1.6,TRUE, 0)</f>
        <v>2.8</v>
      </c>
      <c r="S3" s="5" t="str" cm="1">
        <f t="array" ref="S3">_xlfn.IFS(R3=4,"A+",R3=3.6,"A",R3=3.2,"B+",R3=2.8,"B",R3=2.4,"C+",R3=2,"C",R3=1.6,"D",TRUE,"NG")</f>
        <v>B</v>
      </c>
      <c r="T3" s="5" cm="1">
        <f t="array" ref="T3">_xlfn.IFS(Q3&gt;=70,25,Q3&gt;=60,24,Q3&gt;=50,23,Q3&gt;=40,22,Q3&gt;=30,21,TRUE,20)</f>
        <v>22</v>
      </c>
      <c r="U3" s="5" cm="1">
        <f t="array" ref="U3">_xlfn.IFS(T3/25*100&gt;=90,4,T3/25*100&gt;=80,3.6,T3/25*100&gt;=70,3.2,T3/25*100&gt;=60,2.8,T3/25*100&gt;=50,2.4,T3/25*100&gt;=40,2,T3/25*100&gt;=35,1.6,TRUE, 0)</f>
        <v>3.6</v>
      </c>
      <c r="V3" s="5" t="str" cm="1">
        <f t="array" ref="V3">_xlfn.IFS(U3=4,"A+",U3=3.6,"A",U3=3.2,"B+",U3=2.8,"B",U3=2.4,"C+",U3=2,"C",U3=1.6,"D",TRUE,"NG")</f>
        <v>A</v>
      </c>
      <c r="W3" s="5">
        <f t="shared" ref="W3:W30" si="2">(R3*2.25+U3*0.75)/3</f>
        <v>3</v>
      </c>
      <c r="X3" s="5" t="str" cm="1">
        <f t="array" ref="X3">_xlfn.IFS(AND(W3&lt;=4,W3&gt;3.6),"A+",AND(W3&lt;=3.6,W3&gt;3.2),"A",AND(W3&lt;=3.2,W3&gt;2.8),"B+",AND(W3&lt;=2.8,W3&gt;2.4),"B",AND(W3&lt;=2.4,W3&gt;2),"C+",AND(W3&lt;=2,W3&gt;1.6),"C",W3=1.6,"D",TRUE,"NG")</f>
        <v>B+</v>
      </c>
      <c r="Y3" s="4">
        <v>46</v>
      </c>
      <c r="Z3" s="5" cm="1">
        <f t="array" ref="Z3">_xlfn.IFS(Y3/75*100&gt;=90,4,Y3/75*100&gt;=80,3.6,Y3/75*100&gt;=70,3.2,Y3/75*100&gt;=60,2.8,Y3/75*100&gt;=50,2.4,Y3/75*100&gt;=40,2,Y3/75*100&gt;=35,1.6,TRUE, 0)</f>
        <v>2.8</v>
      </c>
      <c r="AA3" s="5" t="str" cm="1">
        <f t="array" ref="AA3">_xlfn.IFS(Z3=4,"A+",Z3=3.6,"A",Z3=3.2,"B+",Z3=2.8,"B",Z3=2.4,"C+",Z3=2,"C",Z3=1.6,"D",TRUE,"NG")</f>
        <v>B</v>
      </c>
      <c r="AB3" s="4">
        <v>23</v>
      </c>
      <c r="AC3" s="5" cm="1">
        <f t="array" ref="AC3">_xlfn.IFS(AB3/25*100&gt;=90,4,AB3/25*100&gt;=80,3.6,AB3/25*100&gt;=70,3.2,AB3/25*100&gt;=60,2.8,AB3/25*100&gt;=50,2.4,AB3/25*100&gt;=40,2,AB3/25*100&gt;=35,1.6,TRUE, 0)</f>
        <v>4</v>
      </c>
      <c r="AD3" s="5" t="str" cm="1">
        <f t="array" ref="AD3">_xlfn.IFS(AC3=4,"A+",AC3=3.6,"A",AC3=3.2,"B+",AC3=2.8,"B",AC3=2.4,"C+",AC3=2,"C",AC3=1.6,"D",TRUE,"NG")</f>
        <v>A+</v>
      </c>
      <c r="AE3" s="5">
        <f t="shared" ref="AE3:AE30" si="3">(Z3*3.75+AC3*1.25)/5</f>
        <v>3.1</v>
      </c>
      <c r="AF3" s="5" t="str" cm="1">
        <f t="array" ref="AF3">_xlfn.IFS(AND(AE3&lt;=4,AE3&gt;3.6),"A+",AND(AE3&lt;=3.6,AE3&gt;3.2),"A",AND(AE3&lt;=3.2,AE3&gt;2.8),"B+",AND(AE3&lt;=2.8,AE3&gt;2.4),"B",AND(AE3&lt;=2.4,AE3&gt;2),"C+",AND(AE3&lt;=2,AE3&gt;1.6),"C",AE3=1.6,"D",TRUE,"NG")</f>
        <v>B+</v>
      </c>
      <c r="AG3" s="4">
        <v>49</v>
      </c>
      <c r="AH3" s="5" cm="1">
        <f t="array" ref="AH3">_xlfn.IFS(AG3/75*100&gt;=90,4,AG3/75*100&gt;=80,3.6,AG3/75*100&gt;=70,3.2,AG3/75*100&gt;=60,2.8,AG3/75*100&gt;=50,2.4,AG3/75*100&gt;=40,2,AG3/75*100&gt;=35,1.6,TRUE, 0)</f>
        <v>2.8</v>
      </c>
      <c r="AI3" s="5" t="str" cm="1">
        <f t="array" ref="AI3">_xlfn.IFS(AH3=4,"A+",AH3=3.6,"A",AH3=3.2,"B+",AH3=2.8,"B",AH3=2.4,"C+",AH3=2,"C",AH3=1.6,"D",TRUE,"NG")</f>
        <v>B</v>
      </c>
      <c r="AJ3" s="4">
        <v>24</v>
      </c>
      <c r="AK3" s="5" cm="1">
        <f t="array" ref="AK3">_xlfn.IFS(AJ3/25*100&gt;=90,4,AJ3/25*100&gt;=80,3.6,AJ3/25*100&gt;=70,3.2,AJ3/25*100&gt;=60,2.8,AJ3/25*100&gt;=50,2.4,AJ3/25*100&gt;=40,2,AJ3/25*100&gt;=35,1.6,TRUE, 0)</f>
        <v>4</v>
      </c>
      <c r="AL3" s="5" t="str" cm="1">
        <f t="array" ref="AL3">_xlfn.IFS(AK3=4,"A+",AK3=3.6,"A",AK3=3.2,"B+",AK3=2.8,"B",AK3=2.4,"C+",AK3=2,"C",AK3=1.6,"D",TRUE,"NG")</f>
        <v>A+</v>
      </c>
      <c r="AM3" s="5">
        <f t="shared" ref="AM3:AM30" si="4">(AH3*3.75+AK3*1.25)/5</f>
        <v>3.1</v>
      </c>
      <c r="AN3" s="5" t="str" cm="1">
        <f t="array" ref="AN3">_xlfn.IFS(AND(AM3&lt;=4,AM3&gt;3.6),"A+",AND(AM3&lt;=3.6,AM3&gt;3.2),"A",AND(AM3&lt;=3.2,AM3&gt;2.8),"B+",AND(AM3&lt;=2.8,AM3&gt;2.4),"B",AND(AM3&lt;=2.4,AM3&gt;2),"C+",AND(AM3&lt;=2,AM3&gt;1.6),"C",AM3=1.6,"D",TRUE,"NG")</f>
        <v>B+</v>
      </c>
      <c r="AO3" s="4">
        <v>56</v>
      </c>
      <c r="AP3" s="5" cm="1">
        <f t="array" ref="AP3">_xlfn.IFS(AO3/75*100&gt;=90,4,AO3/75*100&gt;=80,3.6,AO3/75*100&gt;=70,3.2,AO3/75*100&gt;=60,2.8,AO3/75*100&gt;=50,2.4,AO3/75*100&gt;=40,2,AO3/75*100&gt;=35,1.6,TRUE, 0)</f>
        <v>3.2</v>
      </c>
      <c r="AQ3" s="5" t="str" cm="1">
        <f t="array" ref="AQ3">_xlfn.IFS(AP3=4,"A+",AP3=3.6,"A",AP3=3.2,"B+",AP3=2.8,"B",AP3=2.4,"C+",AP3=2,"C",AP3=1.6,"D",TRUE,"NG")</f>
        <v>B+</v>
      </c>
      <c r="AR3" s="5" cm="1">
        <f t="array" ref="AR3">_xlfn.IFS(AO3&gt;=70,25,AO3&gt;=60,24,AO3&gt;=50,23,AO3&gt;=40,22,AO3&gt;=30,21,TRUE,20)</f>
        <v>23</v>
      </c>
      <c r="AS3" s="5" cm="1">
        <f t="array" ref="AS3">_xlfn.IFS(AR3/25*100&gt;=90,4,AR3/25*100&gt;=80,3.6,AR3/25*100&gt;=70,3.2,AR3/25*100&gt;=60,2.8,AR3/25*100&gt;=50,2.4,AR3/25*100&gt;=40,2,AR3/25*100&gt;=35,1.6,TRUE, 0)</f>
        <v>4</v>
      </c>
      <c r="AT3" s="5" t="str" cm="1">
        <f t="array" ref="AT3">_xlfn.IFS(AS3=4,"A+",AS3=3.6,"A",AS3=3.2,"B+",AS3=2.8,"B",AS3=2.4,"C+",AS3=2,"C",AS3=1.6,"D",TRUE,"NG")</f>
        <v>A+</v>
      </c>
      <c r="AU3" s="5">
        <f t="shared" ref="AU3:AU30" si="5">(AP3*3.75+AS3*1.25)/5</f>
        <v>3.4</v>
      </c>
      <c r="AV3" s="5" t="str" cm="1">
        <f t="array" ref="AV3">_xlfn.IFS(AND(AU3&lt;=4,AU3&gt;3.6),"A+",AND(AU3&lt;=3.6,AU3&gt;3.2),"A",AND(AU3&lt;=3.2,AU3&gt;2.8),"B+",AND(AU3&lt;=2.8,AU3&gt;2.4),"B",AND(AU3&lt;=2.4,AU3&gt;2),"C+",AND(AU3&lt;=2,AU3&gt;1.6),"C",AU3=1.6,"D",TRUE,"NG")</f>
        <v>A</v>
      </c>
      <c r="AW3" s="4">
        <v>46</v>
      </c>
      <c r="AX3" s="5" cm="1">
        <f t="array" ref="AX3">_xlfn.IFS(AW3="-","-",AW3/75*100&gt;=90,4,AW3/75*100&gt;=80,3.6,AW3/75*100&gt;=70,3.2,AW3/75*100&gt;=60,2.8,AW3/75*100&gt;=50,2.4,AW3/75*100&gt;=40,2,AW3/75*100&gt;=35,1.6,TRUE, 0)</f>
        <v>2.8</v>
      </c>
      <c r="AY3" s="5" t="str" cm="1">
        <f t="array" ref="AY3">_xlfn.IFS(AX3="-","-",AX3=4,"A+",AX3=3.6,"A",AX3=3.2,"B+",AX3=2.8,"B",AX3=2.4,"C+",AX3=2,"C",AX3=1.6,"D",TRUE,"NG")</f>
        <v>B</v>
      </c>
      <c r="AZ3" s="4">
        <v>23</v>
      </c>
      <c r="BA3" s="5" cm="1">
        <f t="array" ref="BA3">_xlfn.IFS(AZ3="-","-",AZ3/25*100&gt;=90,4,AZ3/25*100&gt;=80,3.6,AZ3/25*100&gt;=70,3.2,AZ3/25*100&gt;=60,2.8,AZ3/25*100&gt;=50,2.4,AZ3/25*100&gt;=40,2,AZ3/25*100&gt;=35,1.6,TRUE, 0)</f>
        <v>4</v>
      </c>
      <c r="BB3" s="5" t="str" cm="1">
        <f t="array" ref="BB3">_xlfn.IFS(BA3="-","-",BA3=4,"A+",BA3=3.6,"A",BA3=3.2,"B+",BA3=2.8,"B",BA3=2.4,"C+",BA3=2,"C",BA3=1.6,"D",TRUE,"NG")</f>
        <v>A+</v>
      </c>
      <c r="BC3" s="5">
        <f t="shared" ref="BC3:BC30" si="6">IF(AX3="-","-",(AX3*3.75+BA3*1.25)/5)</f>
        <v>3.1</v>
      </c>
      <c r="BD3" s="5" t="str" cm="1">
        <f t="array" ref="BD3">_xlfn.IFS(BC3="-","-",AND(BC3&lt;=4,BC3&gt;3.6),"A+",AND(BC3&lt;=3.6,BC3&gt;3.2),"A",AND(BC3&lt;=3.2,BC3&gt;2.8),"B+",AND(BC3&lt;=2.8,BC3&gt;2.4),"B",AND(BC3&lt;=2.4,BC3&gt;2),"C+",AND(BC3&lt;=2,BC3&gt;1.6),"C",BC3=1.6,"D",TRUE,"NG")</f>
        <v>B+</v>
      </c>
      <c r="BE3" s="4" t="s">
        <v>63</v>
      </c>
      <c r="BF3" t="str" cm="1">
        <f t="array" ref="BF3">_xlfn.IFS(BE3="-","-",BE3/50*100&gt;=90,4,BE3/50*100&gt;=80,3.6,BE3/50*100&gt;=70,3.2,BE3/50*100&gt;=60,2.8,BE3/50*100&gt;=50,2.4,BE3/50*100&gt;=40,2,BE3/50*100&gt;=35,1.6,TRUE, 0)</f>
        <v>-</v>
      </c>
      <c r="BG3" t="str" cm="1">
        <f t="array" ref="BG3">_xlfn.IFS(BF3="-","-",BF3=4,"A+",BF3=3.6,"A",BF3=3.2,"B+",BF3=2.8,"B",BF3=2.4,"C+",BF3=2,"C",BF3=1.6,"D",TRUE,"NG")</f>
        <v>-</v>
      </c>
      <c r="BH3" s="4" t="s">
        <v>63</v>
      </c>
      <c r="BI3" t="str" cm="1">
        <f t="array" ref="BI3">_xlfn.IFS(BH3="-","-",BH3/50*100&gt;=90,4,BH3/50*100&gt;=80,3.6,BH3/50*100&gt;=70,3.2,BH3/50*100&gt;=60,2.8,BH3/50*100&gt;=50,2.4,BH3/50*100&gt;=40,2,BH3/50*100&gt;=35,1.6,TRUE, 0)</f>
        <v>-</v>
      </c>
      <c r="BJ3" t="str" cm="1">
        <f t="array" ref="BJ3">_xlfn.IFS(BI3="-","-",BI3=4,"A+",BI3=3.6,"A",BI3=3.2,"B+",BI3=2.8,"B",BI3=2.4,"C+",BI3=2,"C",BI3=1.6,"D",TRUE,"NG")</f>
        <v>-</v>
      </c>
      <c r="BK3" t="str">
        <f t="shared" ref="BK3:BK30" si="7">IF(BF3="-","-",(BF3*2.5+BI3*2.5)/5)</f>
        <v>-</v>
      </c>
      <c r="BL3" t="str" cm="1">
        <f t="array" ref="BL3">_xlfn.IFS(BK3="-","-",AND(BK3&lt;=4,BK3&gt;3.6),"A+",AND(BK3&lt;=3.6,BK3&gt;3.2),"A",AND(BK3&lt;=3.2,BK3&gt;2.8),"B+",AND(BK3&lt;=2.8,BK3&gt;2.4),"B",AND(BK3&lt;=2.4,BK3&gt;2),"C+",AND(BK3&lt;=2,BK3&gt;1.6),"C",BK3=1.6,"D",TRUE,"NG")</f>
        <v>-</v>
      </c>
      <c r="BM3" s="9" cm="1">
        <f t="array" ref="BM3">_xlfn.IFS(AW3&lt;&gt;"-",((J3*3+M3*1)+(R3*2.25+U3*0.75)+(Z3*3.75+AC3*1.25)+(AH3*3.75+AK3*1.25)+(AP3*3.75+AS3*1.25)+(AX3*3.75+BA3*1.25))/(4+3+5*4),BE3&lt;&gt;"-",((J3*3+M3*1)+(R3*2.25+U3*0.75)+(Z3*3.75+AC3*1.25)+(AH3*3.75+AK3*1.25)+(AP3*3.75+AS3*1.25)+(BF3*2.5+BI3*2.5))/(4+3+5*4))</f>
        <v>3.1888888888888887</v>
      </c>
    </row>
    <row r="4" spans="1:65" x14ac:dyDescent="0.3">
      <c r="A4" s="2">
        <v>103</v>
      </c>
      <c r="B4" s="12">
        <v>793270280004</v>
      </c>
      <c r="C4" s="13">
        <v>12706855</v>
      </c>
      <c r="D4" s="3" t="s">
        <v>69</v>
      </c>
      <c r="E4" s="3" t="s">
        <v>62</v>
      </c>
      <c r="F4" s="15">
        <v>58937</v>
      </c>
      <c r="G4" s="3" t="str">
        <f t="shared" si="0"/>
        <v>2061/05/11</v>
      </c>
      <c r="H4" s="3" t="str" cm="1">
        <f t="array" ref="H4">[1]!bs2ad(G4)</f>
        <v>2004-8-27</v>
      </c>
      <c r="I4" s="4">
        <v>47</v>
      </c>
      <c r="J4" s="5" cm="1">
        <f t="array" ref="J4">_xlfn.IFS(I4/75*100&gt;=90,4,I4/75*100&gt;=80,3.6,I4/75*100&gt;=70,3.2,I4/75*100&gt;=60,2.8,I4/75*100&gt;=50,2.4,I4/75*100&gt;=40,2,I4/75*100&gt;=35,1.6,TRUE, 0)</f>
        <v>2.8</v>
      </c>
      <c r="K4" s="5" t="str" cm="1">
        <f t="array" ref="K4">_xlfn.IFS(J4=4,"A+",J4=3.6,"A",J4=3.2,"B+",J4=2.8,"B",J4=2.4,"C+",J4=2,"C",J4=1.6,"D",TRUE,"NG")</f>
        <v>B</v>
      </c>
      <c r="L4" s="4">
        <v>23</v>
      </c>
      <c r="M4" s="5" cm="1">
        <f t="array" ref="M4">_xlfn.IFS(L4/25*100&gt;=90,4,L4/25*100&gt;=80,3.6,L4/25*100&gt;=70,3.2,L4/25*100&gt;=60,2.8,L4/25*100&gt;=50,2.4,L4/25*100&gt;=40,2,L4/25*100&gt;=35,1.6,TRUE, 0)</f>
        <v>4</v>
      </c>
      <c r="N4" s="5" t="str" cm="1">
        <f t="array" ref="N4">_xlfn.IFS(M4=4,"A+",M4=3.6,"A",M4=3.2,"B+",M4=2.8,"B",M4=2.4,"C+",M4=2,"C",M4=1.6,"D",TRUE,"NG")</f>
        <v>A+</v>
      </c>
      <c r="O4" s="5">
        <f t="shared" si="1"/>
        <v>3.0999999999999996</v>
      </c>
      <c r="P4" s="5" t="str" cm="1">
        <f t="array" ref="P4">_xlfn.IFS(AND(O4&lt;=4,O4&gt;3.6),"A+",AND(O4&lt;=3.6,O4&gt;3.2),"A",AND(O4&lt;=3.2,O4&gt;2.8),"B+",AND(O4&lt;=2.8,O4&gt;2.4),"B",AND(O4&lt;=2.4,O4&gt;2),"C+",AND(O4&lt;=2,O4&gt;1.6),"C",O4=1.6,"D",TRUE,"NG")</f>
        <v>B+</v>
      </c>
      <c r="Q4" s="4">
        <v>45</v>
      </c>
      <c r="R4" s="5" cm="1">
        <f t="array" ref="R4">_xlfn.IFS(Q4/75*100&gt;=90,4,Q4/75*100&gt;=80,3.6,Q4/75*100&gt;=70,3.2,Q4/75*100&gt;=60,2.8,Q4/75*100&gt;=50,2.4,Q4/75*100&gt;=40,2,Q4/75*100&gt;=35,1.6,TRUE, 0)</f>
        <v>2.8</v>
      </c>
      <c r="S4" s="5" t="str" cm="1">
        <f t="array" ref="S4">_xlfn.IFS(R4=4,"A+",R4=3.6,"A",R4=3.2,"B+",R4=2.8,"B",R4=2.4,"C+",R4=2,"C",R4=1.6,"D",TRUE,"NG")</f>
        <v>B</v>
      </c>
      <c r="T4" s="5" cm="1">
        <f t="array" ref="T4">_xlfn.IFS(Q4&gt;=70,25,Q4&gt;=60,24,Q4&gt;=50,23,Q4&gt;=40,22,Q4&gt;=30,21,TRUE,20)</f>
        <v>22</v>
      </c>
      <c r="U4" s="5" cm="1">
        <f t="array" ref="U4">_xlfn.IFS(T4/25*100&gt;=90,4,T4/25*100&gt;=80,3.6,T4/25*100&gt;=70,3.2,T4/25*100&gt;=60,2.8,T4/25*100&gt;=50,2.4,T4/25*100&gt;=40,2,T4/25*100&gt;=35,1.6,TRUE, 0)</f>
        <v>3.6</v>
      </c>
      <c r="V4" s="5" t="str" cm="1">
        <f t="array" ref="V4">_xlfn.IFS(U4=4,"A+",U4=3.6,"A",U4=3.2,"B+",U4=2.8,"B",U4=2.4,"C+",U4=2,"C",U4=1.6,"D",TRUE,"NG")</f>
        <v>A</v>
      </c>
      <c r="W4" s="5">
        <f t="shared" si="2"/>
        <v>3</v>
      </c>
      <c r="X4" s="5" t="str" cm="1">
        <f t="array" ref="X4">_xlfn.IFS(AND(W4&lt;=4,W4&gt;3.6),"A+",AND(W4&lt;=3.6,W4&gt;3.2),"A",AND(W4&lt;=3.2,W4&gt;2.8),"B+",AND(W4&lt;=2.8,W4&gt;2.4),"B",AND(W4&lt;=2.4,W4&gt;2),"C+",AND(W4&lt;=2,W4&gt;1.6),"C",W4=1.6,"D",TRUE,"NG")</f>
        <v>B+</v>
      </c>
      <c r="Y4" s="4">
        <v>40</v>
      </c>
      <c r="Z4" s="5" cm="1">
        <f t="array" ref="Z4">_xlfn.IFS(Y4/75*100&gt;=90,4,Y4/75*100&gt;=80,3.6,Y4/75*100&gt;=70,3.2,Y4/75*100&gt;=60,2.8,Y4/75*100&gt;=50,2.4,Y4/75*100&gt;=40,2,Y4/75*100&gt;=35,1.6,TRUE, 0)</f>
        <v>2.4</v>
      </c>
      <c r="AA4" s="5" t="str" cm="1">
        <f t="array" ref="AA4">_xlfn.IFS(Z4=4,"A+",Z4=3.6,"A",Z4=3.2,"B+",Z4=2.8,"B",Z4=2.4,"C+",Z4=2,"C",Z4=1.6,"D",TRUE,"NG")</f>
        <v>C+</v>
      </c>
      <c r="AB4" s="4">
        <v>23</v>
      </c>
      <c r="AC4" s="5" cm="1">
        <f t="array" ref="AC4">_xlfn.IFS(AB4/25*100&gt;=90,4,AB4/25*100&gt;=80,3.6,AB4/25*100&gt;=70,3.2,AB4/25*100&gt;=60,2.8,AB4/25*100&gt;=50,2.4,AB4/25*100&gt;=40,2,AB4/25*100&gt;=35,1.6,TRUE, 0)</f>
        <v>4</v>
      </c>
      <c r="AD4" s="5" t="str" cm="1">
        <f t="array" ref="AD4">_xlfn.IFS(AC4=4,"A+",AC4=3.6,"A",AC4=3.2,"B+",AC4=2.8,"B",AC4=2.4,"C+",AC4=2,"C",AC4=1.6,"D",TRUE,"NG")</f>
        <v>A+</v>
      </c>
      <c r="AE4" s="5">
        <f t="shared" si="3"/>
        <v>2.8</v>
      </c>
      <c r="AF4" s="5" t="str" cm="1">
        <f t="array" ref="AF4">_xlfn.IFS(AND(AE4&lt;=4,AE4&gt;3.6),"A+",AND(AE4&lt;=3.6,AE4&gt;3.2),"A",AND(AE4&lt;=3.2,AE4&gt;2.8),"B+",AND(AE4&lt;=2.8,AE4&gt;2.4),"B",AND(AE4&lt;=2.4,AE4&gt;2),"C+",AND(AE4&lt;=2,AE4&gt;1.6),"C",AE4=1.6,"D",TRUE,"NG")</f>
        <v>B</v>
      </c>
      <c r="AG4" s="4">
        <v>43</v>
      </c>
      <c r="AH4" s="5" cm="1">
        <f t="array" ref="AH4">_xlfn.IFS(AG4/75*100&gt;=90,4,AG4/75*100&gt;=80,3.6,AG4/75*100&gt;=70,3.2,AG4/75*100&gt;=60,2.8,AG4/75*100&gt;=50,2.4,AG4/75*100&gt;=40,2,AG4/75*100&gt;=35,1.6,TRUE, 0)</f>
        <v>2.4</v>
      </c>
      <c r="AI4" s="5" t="str" cm="1">
        <f t="array" ref="AI4">_xlfn.IFS(AH4=4,"A+",AH4=3.6,"A",AH4=3.2,"B+",AH4=2.8,"B",AH4=2.4,"C+",AH4=2,"C",AH4=1.6,"D",TRUE,"NG")</f>
        <v>C+</v>
      </c>
      <c r="AJ4" s="4">
        <v>23</v>
      </c>
      <c r="AK4" s="5" cm="1">
        <f t="array" ref="AK4">_xlfn.IFS(AJ4/25*100&gt;=90,4,AJ4/25*100&gt;=80,3.6,AJ4/25*100&gt;=70,3.2,AJ4/25*100&gt;=60,2.8,AJ4/25*100&gt;=50,2.4,AJ4/25*100&gt;=40,2,AJ4/25*100&gt;=35,1.6,TRUE, 0)</f>
        <v>4</v>
      </c>
      <c r="AL4" s="5" t="str" cm="1">
        <f t="array" ref="AL4">_xlfn.IFS(AK4=4,"A+",AK4=3.6,"A",AK4=3.2,"B+",AK4=2.8,"B",AK4=2.4,"C+",AK4=2,"C",AK4=1.6,"D",TRUE,"NG")</f>
        <v>A+</v>
      </c>
      <c r="AM4" s="5">
        <f t="shared" si="4"/>
        <v>2.8</v>
      </c>
      <c r="AN4" s="5" t="str" cm="1">
        <f t="array" ref="AN4">_xlfn.IFS(AND(AM4&lt;=4,AM4&gt;3.6),"A+",AND(AM4&lt;=3.6,AM4&gt;3.2),"A",AND(AM4&lt;=3.2,AM4&gt;2.8),"B+",AND(AM4&lt;=2.8,AM4&gt;2.4),"B",AND(AM4&lt;=2.4,AM4&gt;2),"C+",AND(AM4&lt;=2,AM4&gt;1.6),"C",AM4=1.6,"D",TRUE,"NG")</f>
        <v>B</v>
      </c>
      <c r="AO4" s="4">
        <v>56</v>
      </c>
      <c r="AP4" s="5" cm="1">
        <f t="array" ref="AP4">_xlfn.IFS(AO4/75*100&gt;=90,4,AO4/75*100&gt;=80,3.6,AO4/75*100&gt;=70,3.2,AO4/75*100&gt;=60,2.8,AO4/75*100&gt;=50,2.4,AO4/75*100&gt;=40,2,AO4/75*100&gt;=35,1.6,TRUE, 0)</f>
        <v>3.2</v>
      </c>
      <c r="AQ4" s="5" t="str" cm="1">
        <f t="array" ref="AQ4">_xlfn.IFS(AP4=4,"A+",AP4=3.6,"A",AP4=3.2,"B+",AP4=2.8,"B",AP4=2.4,"C+",AP4=2,"C",AP4=1.6,"D",TRUE,"NG")</f>
        <v>B+</v>
      </c>
      <c r="AR4" s="5" cm="1">
        <f t="array" ref="AR4">_xlfn.IFS(AO4&gt;=70,25,AO4&gt;=60,24,AO4&gt;=50,23,AO4&gt;=40,22,AO4&gt;=30,21,TRUE,20)</f>
        <v>23</v>
      </c>
      <c r="AS4" s="5" cm="1">
        <f t="array" ref="AS4">_xlfn.IFS(AR4/25*100&gt;=90,4,AR4/25*100&gt;=80,3.6,AR4/25*100&gt;=70,3.2,AR4/25*100&gt;=60,2.8,AR4/25*100&gt;=50,2.4,AR4/25*100&gt;=40,2,AR4/25*100&gt;=35,1.6,TRUE, 0)</f>
        <v>4</v>
      </c>
      <c r="AT4" s="5" t="str" cm="1">
        <f t="array" ref="AT4">_xlfn.IFS(AS4=4,"A+",AS4=3.6,"A",AS4=3.2,"B+",AS4=2.8,"B",AS4=2.4,"C+",AS4=2,"C",AS4=1.6,"D",TRUE,"NG")</f>
        <v>A+</v>
      </c>
      <c r="AU4" s="5">
        <f t="shared" si="5"/>
        <v>3.4</v>
      </c>
      <c r="AV4" s="5" t="str" cm="1">
        <f t="array" ref="AV4">_xlfn.IFS(AND(AU4&lt;=4,AU4&gt;3.6),"A+",AND(AU4&lt;=3.6,AU4&gt;3.2),"A",AND(AU4&lt;=3.2,AU4&gt;2.8),"B+",AND(AU4&lt;=2.8,AU4&gt;2.4),"B",AND(AU4&lt;=2.4,AU4&gt;2),"C+",AND(AU4&lt;=2,AU4&gt;1.6),"C",AU4=1.6,"D",TRUE,"NG")</f>
        <v>A</v>
      </c>
      <c r="AW4" s="4" t="s">
        <v>63</v>
      </c>
      <c r="AX4" s="5" t="str" cm="1">
        <f t="array" ref="AX4">_xlfn.IFS(AW4="-","-",AW4/75*100&gt;=90,4,AW4/75*100&gt;=80,3.6,AW4/75*100&gt;=70,3.2,AW4/75*100&gt;=60,2.8,AW4/75*100&gt;=50,2.4,AW4/75*100&gt;=40,2,AW4/75*100&gt;=35,1.6,TRUE, 0)</f>
        <v>-</v>
      </c>
      <c r="AY4" s="5" t="str" cm="1">
        <f t="array" ref="AY4">_xlfn.IFS(AX4="-","-",AX4=4,"A+",AX4=3.6,"A",AX4=3.2,"B+",AX4=2.8,"B",AX4=2.4,"C+",AX4=2,"C",AX4=1.6,"D",TRUE,"NG")</f>
        <v>-</v>
      </c>
      <c r="AZ4" t="s">
        <v>63</v>
      </c>
      <c r="BA4" s="5" t="str" cm="1">
        <f t="array" ref="BA4">_xlfn.IFS(AZ4="-","-",AZ4/25*100&gt;=90,4,AZ4/25*100&gt;=80,3.6,AZ4/25*100&gt;=70,3.2,AZ4/25*100&gt;=60,2.8,AZ4/25*100&gt;=50,2.4,AZ4/25*100&gt;=40,2,AZ4/25*100&gt;=35,1.6,TRUE, 0)</f>
        <v>-</v>
      </c>
      <c r="BB4" s="5" t="str" cm="1">
        <f t="array" ref="BB4">_xlfn.IFS(BA4="-","-",BA4=4,"A+",BA4=3.6,"A",BA4=3.2,"B+",BA4=2.8,"B",BA4=2.4,"C+",BA4=2,"C",BA4=1.6,"D",TRUE,"NG")</f>
        <v>-</v>
      </c>
      <c r="BC4" s="5" t="str">
        <f t="shared" si="6"/>
        <v>-</v>
      </c>
      <c r="BD4" s="5" t="str" cm="1">
        <f t="array" ref="BD4">_xlfn.IFS(BC4="-","-",AND(BC4&lt;=4,BC4&gt;3.6),"A+",AND(BC4&lt;=3.6,BC4&gt;3.2),"A",AND(BC4&lt;=3.2,BC4&gt;2.8),"B+",AND(BC4&lt;=2.8,BC4&gt;2.4),"B",AND(BC4&lt;=2.4,BC4&gt;2),"C+",AND(BC4&lt;=2,BC4&gt;1.6),"C",BC4=1.6,"D",TRUE,"NG")</f>
        <v>-</v>
      </c>
      <c r="BE4" s="4">
        <v>42</v>
      </c>
      <c r="BF4" cm="1">
        <f t="array" ref="BF4">_xlfn.IFS(BE4="-","-",BE4/50*100&gt;=90,4,BE4/50*100&gt;=80,3.6,BE4/50*100&gt;=70,3.2,BE4/50*100&gt;=60,2.8,BE4/50*100&gt;=50,2.4,BE4/50*100&gt;=40,2,BE4/50*100&gt;=35,1.6,TRUE, 0)</f>
        <v>3.6</v>
      </c>
      <c r="BG4" t="str" cm="1">
        <f t="array" ref="BG4">_xlfn.IFS(BF4="-","-",BF4=4,"A+",BF4=3.6,"A",BF4=3.2,"B+",BF4=2.8,"B",BF4=2.4,"C+",BF4=2,"C",BF4=1.6,"D",TRUE,"NG")</f>
        <v>A</v>
      </c>
      <c r="BH4" s="4">
        <v>44</v>
      </c>
      <c r="BI4" cm="1">
        <f t="array" ref="BI4">_xlfn.IFS(BH4="-","-",BH4/50*100&gt;=90,4,BH4/50*100&gt;=80,3.6,BH4/50*100&gt;=70,3.2,BH4/50*100&gt;=60,2.8,BH4/50*100&gt;=50,2.4,BH4/50*100&gt;=40,2,BH4/50*100&gt;=35,1.6,TRUE, 0)</f>
        <v>3.6</v>
      </c>
      <c r="BJ4" t="str" cm="1">
        <f t="array" ref="BJ4">_xlfn.IFS(BI4="-","-",BI4=4,"A+",BI4=3.6,"A",BI4=3.2,"B+",BI4=2.8,"B",BI4=2.4,"C+",BI4=2,"C",BI4=1.6,"D",TRUE,"NG")</f>
        <v>A</v>
      </c>
      <c r="BK4">
        <f t="shared" si="7"/>
        <v>3.6</v>
      </c>
      <c r="BL4" t="str" cm="1">
        <f t="array" ref="BL4">_xlfn.IFS(BK4="-","-",AND(BK4&lt;=4,BK4&gt;3.6),"A+",AND(BK4&lt;=3.6,BK4&gt;3.2),"A",AND(BK4&lt;=3.2,BK4&gt;2.8),"B+",AND(BK4&lt;=2.8,BK4&gt;2.4),"B",AND(BK4&lt;=2.4,BK4&gt;2),"C+",AND(BK4&lt;=2,BK4&gt;1.6),"C",BK4=1.6,"D",TRUE,"NG")</f>
        <v>A</v>
      </c>
      <c r="BM4" s="9" cm="1">
        <f t="array" ref="BM4">_xlfn.IFS(AW4&lt;&gt;"-",((J4*3+M4*1)+(R4*2.25+U4*0.75)+(Z4*3.75+AC4*1.25)+(AH4*3.75+AK4*1.25)+(AP4*3.75+AS4*1.25)+(AX4*3.75+BA4*1.25))/(4+3+5*4),BE4&lt;&gt;"-",((J4*3+M4*1)+(R4*2.25+U4*0.75)+(Z4*3.75+AC4*1.25)+(AH4*3.75+AK4*1.25)+(AP4*3.75+AS4*1.25)+(BF4*2.5+BI4*2.5))/(4+3+5*4))</f>
        <v>3.1259259259259262</v>
      </c>
    </row>
    <row r="5" spans="1:65" x14ac:dyDescent="0.3">
      <c r="A5" s="2">
        <v>104</v>
      </c>
      <c r="B5" s="12">
        <v>793270280008</v>
      </c>
      <c r="C5" s="13">
        <v>12706859</v>
      </c>
      <c r="D5" s="14" t="s">
        <v>70</v>
      </c>
      <c r="E5" s="3" t="s">
        <v>64</v>
      </c>
      <c r="F5" s="15">
        <v>59156</v>
      </c>
      <c r="G5" s="3" t="str">
        <f t="shared" si="0"/>
        <v>2061/12/16</v>
      </c>
      <c r="H5" s="3" t="str" cm="1">
        <f t="array" ref="H5">[1]!bs2ad(G5)</f>
        <v>2005-3-29</v>
      </c>
      <c r="I5" s="4">
        <v>42</v>
      </c>
      <c r="J5" s="5" cm="1">
        <f t="array" ref="J5">_xlfn.IFS(I5/75*100&gt;=90,4,I5/75*100&gt;=80,3.6,I5/75*100&gt;=70,3.2,I5/75*100&gt;=60,2.8,I5/75*100&gt;=50,2.4,I5/75*100&gt;=40,2,I5/75*100&gt;=35,1.6,TRUE, 0)</f>
        <v>2.4</v>
      </c>
      <c r="K5" s="5" t="str" cm="1">
        <f t="array" ref="K5">_xlfn.IFS(J5=4,"A+",J5=3.6,"A",J5=3.2,"B+",J5=2.8,"B",J5=2.4,"C+",J5=2,"C",J5=1.6,"D",TRUE,"NG")</f>
        <v>C+</v>
      </c>
      <c r="L5" s="4">
        <v>22</v>
      </c>
      <c r="M5" s="5" cm="1">
        <f t="array" ref="M5">_xlfn.IFS(L5/25*100&gt;=90,4,L5/25*100&gt;=80,3.6,L5/25*100&gt;=70,3.2,L5/25*100&gt;=60,2.8,L5/25*100&gt;=50,2.4,L5/25*100&gt;=40,2,L5/25*100&gt;=35,1.6,TRUE, 0)</f>
        <v>3.6</v>
      </c>
      <c r="N5" s="5" t="str" cm="1">
        <f t="array" ref="N5">_xlfn.IFS(M5=4,"A+",M5=3.6,"A",M5=3.2,"B+",M5=2.8,"B",M5=2.4,"C+",M5=2,"C",M5=1.6,"D",TRUE,"NG")</f>
        <v>A</v>
      </c>
      <c r="O5" s="5">
        <f t="shared" si="1"/>
        <v>2.6999999999999997</v>
      </c>
      <c r="P5" s="5" t="str" cm="1">
        <f t="array" ref="P5">_xlfn.IFS(AND(O5&lt;=4,O5&gt;3.6),"A+",AND(O5&lt;=3.6,O5&gt;3.2),"A",AND(O5&lt;=3.2,O5&gt;2.8),"B+",AND(O5&lt;=2.8,O5&gt;2.4),"B",AND(O5&lt;=2.4,O5&gt;2),"C+",AND(O5&lt;=2,O5&gt;1.6),"C",O5=1.6,"D",TRUE,"NG")</f>
        <v>B</v>
      </c>
      <c r="Q5" s="4">
        <v>37</v>
      </c>
      <c r="R5" s="5" cm="1">
        <f t="array" ref="R5">_xlfn.IFS(Q5/75*100&gt;=90,4,Q5/75*100&gt;=80,3.6,Q5/75*100&gt;=70,3.2,Q5/75*100&gt;=60,2.8,Q5/75*100&gt;=50,2.4,Q5/75*100&gt;=40,2,Q5/75*100&gt;=35,1.6,TRUE, 0)</f>
        <v>2</v>
      </c>
      <c r="S5" s="5" t="str" cm="1">
        <f t="array" ref="S5">_xlfn.IFS(R5=4,"A+",R5=3.6,"A",R5=3.2,"B+",R5=2.8,"B",R5=2.4,"C+",R5=2,"C",R5=1.6,"D",TRUE,"NG")</f>
        <v>C</v>
      </c>
      <c r="T5" s="5" cm="1">
        <f t="array" ref="T5">_xlfn.IFS(Q5&gt;=70,25,Q5&gt;=60,24,Q5&gt;=50,23,Q5&gt;=40,22,Q5&gt;=30,21,TRUE,20)</f>
        <v>21</v>
      </c>
      <c r="U5" s="5" cm="1">
        <f t="array" ref="U5">_xlfn.IFS(T5/25*100&gt;=90,4,T5/25*100&gt;=80,3.6,T5/25*100&gt;=70,3.2,T5/25*100&gt;=60,2.8,T5/25*100&gt;=50,2.4,T5/25*100&gt;=40,2,T5/25*100&gt;=35,1.6,TRUE, 0)</f>
        <v>3.6</v>
      </c>
      <c r="V5" s="5" t="str" cm="1">
        <f t="array" ref="V5">_xlfn.IFS(U5=4,"A+",U5=3.6,"A",U5=3.2,"B+",U5=2.8,"B",U5=2.4,"C+",U5=2,"C",U5=1.6,"D",TRUE,"NG")</f>
        <v>A</v>
      </c>
      <c r="W5" s="5">
        <f t="shared" si="2"/>
        <v>2.4</v>
      </c>
      <c r="X5" s="5" t="str" cm="1">
        <f t="array" ref="X5">_xlfn.IFS(AND(W5&lt;=4,W5&gt;3.6),"A+",AND(W5&lt;=3.6,W5&gt;3.2),"A",AND(W5&lt;=3.2,W5&gt;2.8),"B+",AND(W5&lt;=2.8,W5&gt;2.4),"B",AND(W5&lt;=2.4,W5&gt;2),"C+",AND(W5&lt;=2,W5&gt;1.6),"C",W5=1.6,"D",TRUE,"NG")</f>
        <v>C+</v>
      </c>
      <c r="Y5" s="4">
        <v>41</v>
      </c>
      <c r="Z5" s="5" cm="1">
        <f t="array" ref="Z5">_xlfn.IFS(Y5/75*100&gt;=90,4,Y5/75*100&gt;=80,3.6,Y5/75*100&gt;=70,3.2,Y5/75*100&gt;=60,2.8,Y5/75*100&gt;=50,2.4,Y5/75*100&gt;=40,2,Y5/75*100&gt;=35,1.6,TRUE, 0)</f>
        <v>2.4</v>
      </c>
      <c r="AA5" s="5" t="str" cm="1">
        <f t="array" ref="AA5">_xlfn.IFS(Z5=4,"A+",Z5=3.6,"A",Z5=3.2,"B+",Z5=2.8,"B",Z5=2.4,"C+",Z5=2,"C",Z5=1.6,"D",TRUE,"NG")</f>
        <v>C+</v>
      </c>
      <c r="AB5" s="4">
        <v>23</v>
      </c>
      <c r="AC5" s="5" cm="1">
        <f t="array" ref="AC5">_xlfn.IFS(AB5/25*100&gt;=90,4,AB5/25*100&gt;=80,3.6,AB5/25*100&gt;=70,3.2,AB5/25*100&gt;=60,2.8,AB5/25*100&gt;=50,2.4,AB5/25*100&gt;=40,2,AB5/25*100&gt;=35,1.6,TRUE, 0)</f>
        <v>4</v>
      </c>
      <c r="AD5" s="5" t="str" cm="1">
        <f t="array" ref="AD5">_xlfn.IFS(AC5=4,"A+",AC5=3.6,"A",AC5=3.2,"B+",AC5=2.8,"B",AC5=2.4,"C+",AC5=2,"C",AC5=1.6,"D",TRUE,"NG")</f>
        <v>A+</v>
      </c>
      <c r="AE5" s="5">
        <f t="shared" si="3"/>
        <v>2.8</v>
      </c>
      <c r="AF5" s="5" t="str" cm="1">
        <f t="array" ref="AF5">_xlfn.IFS(AND(AE5&lt;=4,AE5&gt;3.6),"A+",AND(AE5&lt;=3.6,AE5&gt;3.2),"A",AND(AE5&lt;=3.2,AE5&gt;2.8),"B+",AND(AE5&lt;=2.8,AE5&gt;2.4),"B",AND(AE5&lt;=2.4,AE5&gt;2),"C+",AND(AE5&lt;=2,AE5&gt;1.6),"C",AE5=1.6,"D",TRUE,"NG")</f>
        <v>B</v>
      </c>
      <c r="AG5" s="4">
        <v>48</v>
      </c>
      <c r="AH5" s="5" cm="1">
        <f t="array" ref="AH5">_xlfn.IFS(AG5/75*100&gt;=90,4,AG5/75*100&gt;=80,3.6,AG5/75*100&gt;=70,3.2,AG5/75*100&gt;=60,2.8,AG5/75*100&gt;=50,2.4,AG5/75*100&gt;=40,2,AG5/75*100&gt;=35,1.6,TRUE, 0)</f>
        <v>2.8</v>
      </c>
      <c r="AI5" s="5" t="str" cm="1">
        <f t="array" ref="AI5">_xlfn.IFS(AH5=4,"A+",AH5=3.6,"A",AH5=3.2,"B+",AH5=2.8,"B",AH5=2.4,"C+",AH5=2,"C",AH5=1.6,"D",TRUE,"NG")</f>
        <v>B</v>
      </c>
      <c r="AJ5" s="4">
        <v>23</v>
      </c>
      <c r="AK5" s="5" cm="1">
        <f t="array" ref="AK5">_xlfn.IFS(AJ5/25*100&gt;=90,4,AJ5/25*100&gt;=80,3.6,AJ5/25*100&gt;=70,3.2,AJ5/25*100&gt;=60,2.8,AJ5/25*100&gt;=50,2.4,AJ5/25*100&gt;=40,2,AJ5/25*100&gt;=35,1.6,TRUE, 0)</f>
        <v>4</v>
      </c>
      <c r="AL5" s="5" t="str" cm="1">
        <f t="array" ref="AL5">_xlfn.IFS(AK5=4,"A+",AK5=3.6,"A",AK5=3.2,"B+",AK5=2.8,"B",AK5=2.4,"C+",AK5=2,"C",AK5=1.6,"D",TRUE,"NG")</f>
        <v>A+</v>
      </c>
      <c r="AM5" s="5">
        <f t="shared" si="4"/>
        <v>3.1</v>
      </c>
      <c r="AN5" s="5" t="str" cm="1">
        <f t="array" ref="AN5">_xlfn.IFS(AND(AM5&lt;=4,AM5&gt;3.6),"A+",AND(AM5&lt;=3.6,AM5&gt;3.2),"A",AND(AM5&lt;=3.2,AM5&gt;2.8),"B+",AND(AM5&lt;=2.8,AM5&gt;2.4),"B",AND(AM5&lt;=2.4,AM5&gt;2),"C+",AND(AM5&lt;=2,AM5&gt;1.6),"C",AM5=1.6,"D",TRUE,"NG")</f>
        <v>B+</v>
      </c>
      <c r="AO5" s="4">
        <v>52</v>
      </c>
      <c r="AP5" s="5" cm="1">
        <f t="array" ref="AP5">_xlfn.IFS(AO5/75*100&gt;=90,4,AO5/75*100&gt;=80,3.6,AO5/75*100&gt;=70,3.2,AO5/75*100&gt;=60,2.8,AO5/75*100&gt;=50,2.4,AO5/75*100&gt;=40,2,AO5/75*100&gt;=35,1.6,TRUE, 0)</f>
        <v>2.8</v>
      </c>
      <c r="AQ5" s="5" t="str" cm="1">
        <f t="array" ref="AQ5">_xlfn.IFS(AP5=4,"A+",AP5=3.6,"A",AP5=3.2,"B+",AP5=2.8,"B",AP5=2.4,"C+",AP5=2,"C",AP5=1.6,"D",TRUE,"NG")</f>
        <v>B</v>
      </c>
      <c r="AR5" s="5" cm="1">
        <f t="array" ref="AR5">_xlfn.IFS(AO5&gt;=70,25,AO5&gt;=60,24,AO5&gt;=50,23,AO5&gt;=40,22,AO5&gt;=30,21,TRUE,20)</f>
        <v>23</v>
      </c>
      <c r="AS5" s="5" cm="1">
        <f t="array" ref="AS5">_xlfn.IFS(AR5/25*100&gt;=90,4,AR5/25*100&gt;=80,3.6,AR5/25*100&gt;=70,3.2,AR5/25*100&gt;=60,2.8,AR5/25*100&gt;=50,2.4,AR5/25*100&gt;=40,2,AR5/25*100&gt;=35,1.6,TRUE, 0)</f>
        <v>4</v>
      </c>
      <c r="AT5" s="5" t="str" cm="1">
        <f t="array" ref="AT5">_xlfn.IFS(AS5=4,"A+",AS5=3.6,"A",AS5=3.2,"B+",AS5=2.8,"B",AS5=2.4,"C+",AS5=2,"C",AS5=1.6,"D",TRUE,"NG")</f>
        <v>A+</v>
      </c>
      <c r="AU5" s="5">
        <f t="shared" si="5"/>
        <v>3.1</v>
      </c>
      <c r="AV5" s="5" t="str" cm="1">
        <f t="array" ref="AV5">_xlfn.IFS(AND(AU5&lt;=4,AU5&gt;3.6),"A+",AND(AU5&lt;=3.6,AU5&gt;3.2),"A",AND(AU5&lt;=3.2,AU5&gt;2.8),"B+",AND(AU5&lt;=2.8,AU5&gt;2.4),"B",AND(AU5&lt;=2.4,AU5&gt;2),"C+",AND(AU5&lt;=2,AU5&gt;1.6),"C",AU5=1.6,"D",TRUE,"NG")</f>
        <v>B+</v>
      </c>
      <c r="AW5" s="4">
        <v>32</v>
      </c>
      <c r="AX5" s="5" cm="1">
        <f t="array" ref="AX5">_xlfn.IFS(AW5="-","-",AW5/75*100&gt;=90,4,AW5/75*100&gt;=80,3.6,AW5/75*100&gt;=70,3.2,AW5/75*100&gt;=60,2.8,AW5/75*100&gt;=50,2.4,AW5/75*100&gt;=40,2,AW5/75*100&gt;=35,1.6,TRUE, 0)</f>
        <v>2</v>
      </c>
      <c r="AY5" s="5" t="str" cm="1">
        <f t="array" ref="AY5">_xlfn.IFS(AX5="-","-",AX5=4,"A+",AX5=3.6,"A",AX5=3.2,"B+",AX5=2.8,"B",AX5=2.4,"C+",AX5=2,"C",AX5=1.6,"D",TRUE,"NG")</f>
        <v>C</v>
      </c>
      <c r="AZ5" s="4">
        <v>22</v>
      </c>
      <c r="BA5" s="5" cm="1">
        <f t="array" ref="BA5">_xlfn.IFS(AZ5="-","-",AZ5/25*100&gt;=90,4,AZ5/25*100&gt;=80,3.6,AZ5/25*100&gt;=70,3.2,AZ5/25*100&gt;=60,2.8,AZ5/25*100&gt;=50,2.4,AZ5/25*100&gt;=40,2,AZ5/25*100&gt;=35,1.6,TRUE, 0)</f>
        <v>3.6</v>
      </c>
      <c r="BB5" s="5" t="str" cm="1">
        <f t="array" ref="BB5">_xlfn.IFS(BA5="-","-",BA5=4,"A+",BA5=3.6,"A",BA5=3.2,"B+",BA5=2.8,"B",BA5=2.4,"C+",BA5=2,"C",BA5=1.6,"D",TRUE,"NG")</f>
        <v>A</v>
      </c>
      <c r="BC5" s="5">
        <f t="shared" si="6"/>
        <v>2.4</v>
      </c>
      <c r="BD5" s="5" t="str" cm="1">
        <f t="array" ref="BD5">_xlfn.IFS(BC5="-","-",AND(BC5&lt;=4,BC5&gt;3.6),"A+",AND(BC5&lt;=3.6,BC5&gt;3.2),"A",AND(BC5&lt;=3.2,BC5&gt;2.8),"B+",AND(BC5&lt;=2.8,BC5&gt;2.4),"B",AND(BC5&lt;=2.4,BC5&gt;2),"C+",AND(BC5&lt;=2,BC5&gt;1.6),"C",BC5=1.6,"D",TRUE,"NG")</f>
        <v>C+</v>
      </c>
      <c r="BE5" s="4" t="s">
        <v>63</v>
      </c>
      <c r="BF5" t="str" cm="1">
        <f t="array" ref="BF5">_xlfn.IFS(BE5="-","-",BE5/50*100&gt;=90,4,BE5/50*100&gt;=80,3.6,BE5/50*100&gt;=70,3.2,BE5/50*100&gt;=60,2.8,BE5/50*100&gt;=50,2.4,BE5/50*100&gt;=40,2,BE5/50*100&gt;=35,1.6,TRUE, 0)</f>
        <v>-</v>
      </c>
      <c r="BG5" t="str" cm="1">
        <f t="array" ref="BG5">_xlfn.IFS(BF5="-","-",BF5=4,"A+",BF5=3.6,"A",BF5=3.2,"B+",BF5=2.8,"B",BF5=2.4,"C+",BF5=2,"C",BF5=1.6,"D",TRUE,"NG")</f>
        <v>-</v>
      </c>
      <c r="BH5" s="4" t="s">
        <v>63</v>
      </c>
      <c r="BI5" t="str" cm="1">
        <f t="array" ref="BI5">_xlfn.IFS(BH5="-","-",BH5/50*100&gt;=90,4,BH5/50*100&gt;=80,3.6,BH5/50*100&gt;=70,3.2,BH5/50*100&gt;=60,2.8,BH5/50*100&gt;=50,2.4,BH5/50*100&gt;=40,2,BH5/50*100&gt;=35,1.6,TRUE, 0)</f>
        <v>-</v>
      </c>
      <c r="BJ5" t="str" cm="1">
        <f t="array" ref="BJ5">_xlfn.IFS(BI5="-","-",BI5=4,"A+",BI5=3.6,"A",BI5=3.2,"B+",BI5=2.8,"B",BI5=2.4,"C+",BI5=2,"C",BI5=1.6,"D",TRUE,"NG")</f>
        <v>-</v>
      </c>
      <c r="BK5" t="str">
        <f t="shared" si="7"/>
        <v>-</v>
      </c>
      <c r="BL5" t="str" cm="1">
        <f t="array" ref="BL5">_xlfn.IFS(BK5="-","-",AND(BK5&lt;=4,BK5&gt;3.6),"A+",AND(BK5&lt;=3.6,BK5&gt;3.2),"A",AND(BK5&lt;=3.2,BK5&gt;2.8),"B+",AND(BK5&lt;=2.8,BK5&gt;2.4),"B",AND(BK5&lt;=2.4,BK5&gt;2),"C+",AND(BK5&lt;=2,BK5&gt;1.6),"C",BK5=1.6,"D",TRUE,"NG")</f>
        <v>-</v>
      </c>
      <c r="BM5" s="9" cm="1">
        <f t="array" ref="BM5">_xlfn.IFS(AW5&lt;&gt;"-",((J5*3+M5*1)+(R5*2.25+U5*0.75)+(Z5*3.75+AC5*1.25)+(AH5*3.75+AK5*1.25)+(AP5*3.75+AS5*1.25)+(AX5*3.75+BA5*1.25))/(4+3+5*4),BE5&lt;&gt;"-",((J5*3+M5*1)+(R5*2.25+U5*0.75)+(Z5*3.75+AC5*1.25)+(AH5*3.75+AK5*1.25)+(AP5*3.75+AS5*1.25)+(BF5*2.5+BI5*2.5))/(4+3+5*4))</f>
        <v>2.7777777777777777</v>
      </c>
    </row>
    <row r="6" spans="1:65" x14ac:dyDescent="0.3">
      <c r="A6" s="2">
        <v>105</v>
      </c>
      <c r="B6" s="12">
        <v>793270280010</v>
      </c>
      <c r="C6" s="13">
        <v>12706861</v>
      </c>
      <c r="D6" s="14" t="s">
        <v>71</v>
      </c>
      <c r="E6" s="3" t="s">
        <v>64</v>
      </c>
      <c r="F6" s="15">
        <v>59575</v>
      </c>
      <c r="G6" s="3" t="str">
        <f t="shared" si="0"/>
        <v>2063/02/08</v>
      </c>
      <c r="H6" s="3" t="str" cm="1">
        <f t="array" ref="H6">[1]!bs2ad(G6)</f>
        <v>2006-5-22</v>
      </c>
      <c r="I6" s="4">
        <v>35</v>
      </c>
      <c r="J6" s="5" cm="1">
        <f t="array" ref="J6">_xlfn.IFS(I6/75*100&gt;=90,4,I6/75*100&gt;=80,3.6,I6/75*100&gt;=70,3.2,I6/75*100&gt;=60,2.8,I6/75*100&gt;=50,2.4,I6/75*100&gt;=40,2,I6/75*100&gt;=35,1.6,TRUE, 0)</f>
        <v>2</v>
      </c>
      <c r="K6" s="5" t="str" cm="1">
        <f t="array" ref="K6">_xlfn.IFS(J6=4,"A+",J6=3.6,"A",J6=3.2,"B+",J6=2.8,"B",J6=2.4,"C+",J6=2,"C",J6=1.6,"D",TRUE,"NG")</f>
        <v>C</v>
      </c>
      <c r="L6" s="4">
        <v>20</v>
      </c>
      <c r="M6" s="5" cm="1">
        <f t="array" ref="M6">_xlfn.IFS(L6/25*100&gt;=90,4,L6/25*100&gt;=80,3.6,L6/25*100&gt;=70,3.2,L6/25*100&gt;=60,2.8,L6/25*100&gt;=50,2.4,L6/25*100&gt;=40,2,L6/25*100&gt;=35,1.6,TRUE, 0)</f>
        <v>3.6</v>
      </c>
      <c r="N6" s="5" t="str" cm="1">
        <f t="array" ref="N6">_xlfn.IFS(M6=4,"A+",M6=3.6,"A",M6=3.2,"B+",M6=2.8,"B",M6=2.4,"C+",M6=2,"C",M6=1.6,"D",TRUE,"NG")</f>
        <v>A</v>
      </c>
      <c r="O6" s="5">
        <f t="shared" si="1"/>
        <v>2.4</v>
      </c>
      <c r="P6" s="5" t="str" cm="1">
        <f t="array" ref="P6">_xlfn.IFS(AND(O6&lt;=4,O6&gt;3.6),"A+",AND(O6&lt;=3.6,O6&gt;3.2),"A",AND(O6&lt;=3.2,O6&gt;2.8),"B+",AND(O6&lt;=2.8,O6&gt;2.4),"B",AND(O6&lt;=2.4,O6&gt;2),"C+",AND(O6&lt;=2,O6&gt;1.6),"C",O6=1.6,"D",TRUE,"NG")</f>
        <v>C+</v>
      </c>
      <c r="Q6" s="4">
        <v>40</v>
      </c>
      <c r="R6" s="5" cm="1">
        <f t="array" ref="R6">_xlfn.IFS(Q6/75*100&gt;=90,4,Q6/75*100&gt;=80,3.6,Q6/75*100&gt;=70,3.2,Q6/75*100&gt;=60,2.8,Q6/75*100&gt;=50,2.4,Q6/75*100&gt;=40,2,Q6/75*100&gt;=35,1.6,TRUE, 0)</f>
        <v>2.4</v>
      </c>
      <c r="S6" s="5" t="str" cm="1">
        <f t="array" ref="S6">_xlfn.IFS(R6=4,"A+",R6=3.6,"A",R6=3.2,"B+",R6=2.8,"B",R6=2.4,"C+",R6=2,"C",R6=1.6,"D",TRUE,"NG")</f>
        <v>C+</v>
      </c>
      <c r="T6" s="5" cm="1">
        <f t="array" ref="T6">_xlfn.IFS(Q6&gt;=70,25,Q6&gt;=60,24,Q6&gt;=50,23,Q6&gt;=40,22,Q6&gt;=30,21,TRUE,20)</f>
        <v>22</v>
      </c>
      <c r="U6" s="5" cm="1">
        <f t="array" ref="U6">_xlfn.IFS(T6/25*100&gt;=90,4,T6/25*100&gt;=80,3.6,T6/25*100&gt;=70,3.2,T6/25*100&gt;=60,2.8,T6/25*100&gt;=50,2.4,T6/25*100&gt;=40,2,T6/25*100&gt;=35,1.6,TRUE, 0)</f>
        <v>3.6</v>
      </c>
      <c r="V6" s="5" t="str" cm="1">
        <f t="array" ref="V6">_xlfn.IFS(U6=4,"A+",U6=3.6,"A",U6=3.2,"B+",U6=2.8,"B",U6=2.4,"C+",U6=2,"C",U6=1.6,"D",TRUE,"NG")</f>
        <v>A</v>
      </c>
      <c r="W6" s="5">
        <f t="shared" si="2"/>
        <v>2.6999999999999997</v>
      </c>
      <c r="X6" s="5" t="str" cm="1">
        <f t="array" ref="X6">_xlfn.IFS(AND(W6&lt;=4,W6&gt;3.6),"A+",AND(W6&lt;=3.6,W6&gt;3.2),"A",AND(W6&lt;=3.2,W6&gt;2.8),"B+",AND(W6&lt;=2.8,W6&gt;2.4),"B",AND(W6&lt;=2.4,W6&gt;2),"C+",AND(W6&lt;=2,W6&gt;1.6),"C",W6=1.6,"D",TRUE,"NG")</f>
        <v>B</v>
      </c>
      <c r="Y6" s="4">
        <v>51</v>
      </c>
      <c r="Z6" s="5" cm="1">
        <f t="array" ref="Z6">_xlfn.IFS(Y6/75*100&gt;=90,4,Y6/75*100&gt;=80,3.6,Y6/75*100&gt;=70,3.2,Y6/75*100&gt;=60,2.8,Y6/75*100&gt;=50,2.4,Y6/75*100&gt;=40,2,Y6/75*100&gt;=35,1.6,TRUE, 0)</f>
        <v>2.8</v>
      </c>
      <c r="AA6" s="5" t="str" cm="1">
        <f t="array" ref="AA6">_xlfn.IFS(Z6=4,"A+",Z6=3.6,"A",Z6=3.2,"B+",Z6=2.8,"B",Z6=2.4,"C+",Z6=2,"C",Z6=1.6,"D",TRUE,"NG")</f>
        <v>B</v>
      </c>
      <c r="AB6" s="4">
        <v>23</v>
      </c>
      <c r="AC6" s="5" cm="1">
        <f t="array" ref="AC6">_xlfn.IFS(AB6/25*100&gt;=90,4,AB6/25*100&gt;=80,3.6,AB6/25*100&gt;=70,3.2,AB6/25*100&gt;=60,2.8,AB6/25*100&gt;=50,2.4,AB6/25*100&gt;=40,2,AB6/25*100&gt;=35,1.6,TRUE, 0)</f>
        <v>4</v>
      </c>
      <c r="AD6" s="5" t="str" cm="1">
        <f t="array" ref="AD6">_xlfn.IFS(AC6=4,"A+",AC6=3.6,"A",AC6=3.2,"B+",AC6=2.8,"B",AC6=2.4,"C+",AC6=2,"C",AC6=1.6,"D",TRUE,"NG")</f>
        <v>A+</v>
      </c>
      <c r="AE6" s="5">
        <f t="shared" si="3"/>
        <v>3.1</v>
      </c>
      <c r="AF6" s="5" t="str" cm="1">
        <f t="array" ref="AF6">_xlfn.IFS(AND(AE6&lt;=4,AE6&gt;3.6),"A+",AND(AE6&lt;=3.6,AE6&gt;3.2),"A",AND(AE6&lt;=3.2,AE6&gt;2.8),"B+",AND(AE6&lt;=2.8,AE6&gt;2.4),"B",AND(AE6&lt;=2.4,AE6&gt;2),"C+",AND(AE6&lt;=2,AE6&gt;1.6),"C",AE6=1.6,"D",TRUE,"NG")</f>
        <v>B+</v>
      </c>
      <c r="AG6" s="4">
        <v>37</v>
      </c>
      <c r="AH6" s="5" cm="1">
        <f t="array" ref="AH6">_xlfn.IFS(AG6/75*100&gt;=90,4,AG6/75*100&gt;=80,3.6,AG6/75*100&gt;=70,3.2,AG6/75*100&gt;=60,2.8,AG6/75*100&gt;=50,2.4,AG6/75*100&gt;=40,2,AG6/75*100&gt;=35,1.6,TRUE, 0)</f>
        <v>2</v>
      </c>
      <c r="AI6" s="5" t="str" cm="1">
        <f t="array" ref="AI6">_xlfn.IFS(AH6=4,"A+",AH6=3.6,"A",AH6=3.2,"B+",AH6=2.8,"B",AH6=2.4,"C+",AH6=2,"C",AH6=1.6,"D",TRUE,"NG")</f>
        <v>C</v>
      </c>
      <c r="AJ6" s="4">
        <v>22</v>
      </c>
      <c r="AK6" s="5" cm="1">
        <f t="array" ref="AK6">_xlfn.IFS(AJ6/25*100&gt;=90,4,AJ6/25*100&gt;=80,3.6,AJ6/25*100&gt;=70,3.2,AJ6/25*100&gt;=60,2.8,AJ6/25*100&gt;=50,2.4,AJ6/25*100&gt;=40,2,AJ6/25*100&gt;=35,1.6,TRUE, 0)</f>
        <v>3.6</v>
      </c>
      <c r="AL6" s="5" t="str" cm="1">
        <f t="array" ref="AL6">_xlfn.IFS(AK6=4,"A+",AK6=3.6,"A",AK6=3.2,"B+",AK6=2.8,"B",AK6=2.4,"C+",AK6=2,"C",AK6=1.6,"D",TRUE,"NG")</f>
        <v>A</v>
      </c>
      <c r="AM6" s="5">
        <f t="shared" si="4"/>
        <v>2.4</v>
      </c>
      <c r="AN6" s="5" t="str" cm="1">
        <f t="array" ref="AN6">_xlfn.IFS(AND(AM6&lt;=4,AM6&gt;3.6),"A+",AND(AM6&lt;=3.6,AM6&gt;3.2),"A",AND(AM6&lt;=3.2,AM6&gt;2.8),"B+",AND(AM6&lt;=2.8,AM6&gt;2.4),"B",AND(AM6&lt;=2.4,AM6&gt;2),"C+",AND(AM6&lt;=2,AM6&gt;1.6),"C",AM6=1.6,"D",TRUE,"NG")</f>
        <v>C+</v>
      </c>
      <c r="AO6" s="4">
        <v>51</v>
      </c>
      <c r="AP6" s="5" cm="1">
        <f t="array" ref="AP6">_xlfn.IFS(AO6/75*100&gt;=90,4,AO6/75*100&gt;=80,3.6,AO6/75*100&gt;=70,3.2,AO6/75*100&gt;=60,2.8,AO6/75*100&gt;=50,2.4,AO6/75*100&gt;=40,2,AO6/75*100&gt;=35,1.6,TRUE, 0)</f>
        <v>2.8</v>
      </c>
      <c r="AQ6" s="5" t="str" cm="1">
        <f t="array" ref="AQ6">_xlfn.IFS(AP6=4,"A+",AP6=3.6,"A",AP6=3.2,"B+",AP6=2.8,"B",AP6=2.4,"C+",AP6=2,"C",AP6=1.6,"D",TRUE,"NG")</f>
        <v>B</v>
      </c>
      <c r="AR6" s="5" cm="1">
        <f t="array" ref="AR6">_xlfn.IFS(AO6&gt;=70,25,AO6&gt;=60,24,AO6&gt;=50,23,AO6&gt;=40,22,AO6&gt;=30,21,TRUE,20)</f>
        <v>23</v>
      </c>
      <c r="AS6" s="5" cm="1">
        <f t="array" ref="AS6">_xlfn.IFS(AR6/25*100&gt;=90,4,AR6/25*100&gt;=80,3.6,AR6/25*100&gt;=70,3.2,AR6/25*100&gt;=60,2.8,AR6/25*100&gt;=50,2.4,AR6/25*100&gt;=40,2,AR6/25*100&gt;=35,1.6,TRUE, 0)</f>
        <v>4</v>
      </c>
      <c r="AT6" s="5" t="str" cm="1">
        <f t="array" ref="AT6">_xlfn.IFS(AS6=4,"A+",AS6=3.6,"A",AS6=3.2,"B+",AS6=2.8,"B",AS6=2.4,"C+",AS6=2,"C",AS6=1.6,"D",TRUE,"NG")</f>
        <v>A+</v>
      </c>
      <c r="AU6" s="5">
        <f t="shared" si="5"/>
        <v>3.1</v>
      </c>
      <c r="AV6" s="5" t="str" cm="1">
        <f t="array" ref="AV6">_xlfn.IFS(AND(AU6&lt;=4,AU6&gt;3.6),"A+",AND(AU6&lt;=3.6,AU6&gt;3.2),"A",AND(AU6&lt;=3.2,AU6&gt;2.8),"B+",AND(AU6&lt;=2.8,AU6&gt;2.4),"B",AND(AU6&lt;=2.4,AU6&gt;2),"C+",AND(AU6&lt;=2,AU6&gt;1.6),"C",AU6=1.6,"D",TRUE,"NG")</f>
        <v>B+</v>
      </c>
      <c r="AW6" s="4">
        <v>41</v>
      </c>
      <c r="AX6" s="5" cm="1">
        <f t="array" ref="AX6">_xlfn.IFS(AW6="-","-",AW6/75*100&gt;=90,4,AW6/75*100&gt;=80,3.6,AW6/75*100&gt;=70,3.2,AW6/75*100&gt;=60,2.8,AW6/75*100&gt;=50,2.4,AW6/75*100&gt;=40,2,AW6/75*100&gt;=35,1.6,TRUE, 0)</f>
        <v>2.4</v>
      </c>
      <c r="AY6" s="5" t="str" cm="1">
        <f t="array" ref="AY6">_xlfn.IFS(AX6="-","-",AX6=4,"A+",AX6=3.6,"A",AX6=3.2,"B+",AX6=2.8,"B",AX6=2.4,"C+",AX6=2,"C",AX6=1.6,"D",TRUE,"NG")</f>
        <v>C+</v>
      </c>
      <c r="AZ6" s="4">
        <v>20</v>
      </c>
      <c r="BA6" s="5" cm="1">
        <f t="array" ref="BA6">_xlfn.IFS(AZ6="-","-",AZ6/25*100&gt;=90,4,AZ6/25*100&gt;=80,3.6,AZ6/25*100&gt;=70,3.2,AZ6/25*100&gt;=60,2.8,AZ6/25*100&gt;=50,2.4,AZ6/25*100&gt;=40,2,AZ6/25*100&gt;=35,1.6,TRUE, 0)</f>
        <v>3.6</v>
      </c>
      <c r="BB6" s="5" t="str" cm="1">
        <f t="array" ref="BB6">_xlfn.IFS(BA6="-","-",BA6=4,"A+",BA6=3.6,"A",BA6=3.2,"B+",BA6=2.8,"B",BA6=2.4,"C+",BA6=2,"C",BA6=1.6,"D",TRUE,"NG")</f>
        <v>A</v>
      </c>
      <c r="BC6" s="5">
        <f t="shared" si="6"/>
        <v>2.7</v>
      </c>
      <c r="BD6" s="5" t="str" cm="1">
        <f t="array" ref="BD6">_xlfn.IFS(BC6="-","-",AND(BC6&lt;=4,BC6&gt;3.6),"A+",AND(BC6&lt;=3.6,BC6&gt;3.2),"A",AND(BC6&lt;=3.2,BC6&gt;2.8),"B+",AND(BC6&lt;=2.8,BC6&gt;2.4),"B",AND(BC6&lt;=2.4,BC6&gt;2),"C+",AND(BC6&lt;=2,BC6&gt;1.6),"C",BC6=1.6,"D",TRUE,"NG")</f>
        <v>B</v>
      </c>
      <c r="BE6" s="4" t="s">
        <v>63</v>
      </c>
      <c r="BF6" t="str" cm="1">
        <f t="array" ref="BF6">_xlfn.IFS(BE6="-","-",BE6/50*100&gt;=90,4,BE6/50*100&gt;=80,3.6,BE6/50*100&gt;=70,3.2,BE6/50*100&gt;=60,2.8,BE6/50*100&gt;=50,2.4,BE6/50*100&gt;=40,2,BE6/50*100&gt;=35,1.6,TRUE, 0)</f>
        <v>-</v>
      </c>
      <c r="BG6" t="str" cm="1">
        <f t="array" ref="BG6">_xlfn.IFS(BF6="-","-",BF6=4,"A+",BF6=3.6,"A",BF6=3.2,"B+",BF6=2.8,"B",BF6=2.4,"C+",BF6=2,"C",BF6=1.6,"D",TRUE,"NG")</f>
        <v>-</v>
      </c>
      <c r="BH6" s="4" t="s">
        <v>63</v>
      </c>
      <c r="BI6" t="str" cm="1">
        <f t="array" ref="BI6">_xlfn.IFS(BH6="-","-",BH6/50*100&gt;=90,4,BH6/50*100&gt;=80,3.6,BH6/50*100&gt;=70,3.2,BH6/50*100&gt;=60,2.8,BH6/50*100&gt;=50,2.4,BH6/50*100&gt;=40,2,BH6/50*100&gt;=35,1.6,TRUE, 0)</f>
        <v>-</v>
      </c>
      <c r="BJ6" t="str" cm="1">
        <f t="array" ref="BJ6">_xlfn.IFS(BI6="-","-",BI6=4,"A+",BI6=3.6,"A",BI6=3.2,"B+",BI6=2.8,"B",BI6=2.4,"C+",BI6=2,"C",BI6=1.6,"D",TRUE,"NG")</f>
        <v>-</v>
      </c>
      <c r="BK6" t="str">
        <f t="shared" si="7"/>
        <v>-</v>
      </c>
      <c r="BL6" t="str" cm="1">
        <f t="array" ref="BL6">_xlfn.IFS(BK6="-","-",AND(BK6&lt;=4,BK6&gt;3.6),"A+",AND(BK6&lt;=3.6,BK6&gt;3.2),"A",AND(BK6&lt;=3.2,BK6&gt;2.8),"B+",AND(BK6&lt;=2.8,BK6&gt;2.4),"B",AND(BK6&lt;=2.4,BK6&gt;2),"C+",AND(BK6&lt;=2,BK6&gt;1.6),"C",BK6=1.6,"D",TRUE,"NG")</f>
        <v>-</v>
      </c>
      <c r="BM6" s="9" cm="1">
        <f t="array" ref="BM6">_xlfn.IFS(AW6&lt;&gt;"-",((J6*3+M6*1)+(R6*2.25+U6*0.75)+(Z6*3.75+AC6*1.25)+(AH6*3.75+AK6*1.25)+(AP6*3.75+AS6*1.25)+(AX6*3.75+BA6*1.25))/(4+3+5*4),BE6&lt;&gt;"-",((J6*3+M6*1)+(R6*2.25+U6*0.75)+(Z6*3.75+AC6*1.25)+(AH6*3.75+AK6*1.25)+(AP6*3.75+AS6*1.25)+(BF6*2.5+BI6*2.5))/(4+3+5*4))</f>
        <v>2.7481481481481485</v>
      </c>
    </row>
    <row r="7" spans="1:65" x14ac:dyDescent="0.3">
      <c r="A7" s="2">
        <v>106</v>
      </c>
      <c r="B7" s="12">
        <v>793270280011</v>
      </c>
      <c r="C7" s="13">
        <v>12706862</v>
      </c>
      <c r="D7" s="14" t="s">
        <v>72</v>
      </c>
      <c r="E7" s="3" t="s">
        <v>64</v>
      </c>
      <c r="F7" s="15">
        <v>59191</v>
      </c>
      <c r="G7" s="3" t="str">
        <f t="shared" si="0"/>
        <v>2062/01/20</v>
      </c>
      <c r="H7" s="3" t="str" cm="1">
        <f t="array" ref="H7">[1]!bs2ad(G7)</f>
        <v>2005-5-3</v>
      </c>
      <c r="I7" s="4">
        <v>54</v>
      </c>
      <c r="J7" s="5" cm="1">
        <f t="array" ref="J7">_xlfn.IFS(I7/75*100&gt;=90,4,I7/75*100&gt;=80,3.6,I7/75*100&gt;=70,3.2,I7/75*100&gt;=60,2.8,I7/75*100&gt;=50,2.4,I7/75*100&gt;=40,2,I7/75*100&gt;=35,1.6,TRUE, 0)</f>
        <v>3.2</v>
      </c>
      <c r="K7" s="5" t="str" cm="1">
        <f t="array" ref="K7">_xlfn.IFS(J7=4,"A+",J7=3.6,"A",J7=3.2,"B+",J7=2.8,"B",J7=2.4,"C+",J7=2,"C",J7=1.6,"D",TRUE,"NG")</f>
        <v>B+</v>
      </c>
      <c r="L7" s="4">
        <v>20</v>
      </c>
      <c r="M7" s="5" cm="1">
        <f t="array" ref="M7">_xlfn.IFS(L7/25*100&gt;=90,4,L7/25*100&gt;=80,3.6,L7/25*100&gt;=70,3.2,L7/25*100&gt;=60,2.8,L7/25*100&gt;=50,2.4,L7/25*100&gt;=40,2,L7/25*100&gt;=35,1.6,TRUE, 0)</f>
        <v>3.6</v>
      </c>
      <c r="N7" s="5" t="str" cm="1">
        <f t="array" ref="N7">_xlfn.IFS(M7=4,"A+",M7=3.6,"A",M7=3.2,"B+",M7=2.8,"B",M7=2.4,"C+",M7=2,"C",M7=1.6,"D",TRUE,"NG")</f>
        <v>A</v>
      </c>
      <c r="O7" s="5">
        <f t="shared" si="1"/>
        <v>3.3000000000000003</v>
      </c>
      <c r="P7" s="5" t="str" cm="1">
        <f t="array" ref="P7">_xlfn.IFS(AND(O7&lt;=4,O7&gt;3.6),"A+",AND(O7&lt;=3.6,O7&gt;3.2),"A",AND(O7&lt;=3.2,O7&gt;2.8),"B+",AND(O7&lt;=2.8,O7&gt;2.4),"B",AND(O7&lt;=2.4,O7&gt;2),"C+",AND(O7&lt;=2,O7&gt;1.6),"C",O7=1.6,"D",TRUE,"NG")</f>
        <v>A</v>
      </c>
      <c r="Q7" s="4">
        <v>47</v>
      </c>
      <c r="R7" s="5" cm="1">
        <f t="array" ref="R7">_xlfn.IFS(Q7/75*100&gt;=90,4,Q7/75*100&gt;=80,3.6,Q7/75*100&gt;=70,3.2,Q7/75*100&gt;=60,2.8,Q7/75*100&gt;=50,2.4,Q7/75*100&gt;=40,2,Q7/75*100&gt;=35,1.6,TRUE, 0)</f>
        <v>2.8</v>
      </c>
      <c r="S7" s="5" t="str" cm="1">
        <f t="array" ref="S7">_xlfn.IFS(R7=4,"A+",R7=3.6,"A",R7=3.2,"B+",R7=2.8,"B",R7=2.4,"C+",R7=2,"C",R7=1.6,"D",TRUE,"NG")</f>
        <v>B</v>
      </c>
      <c r="T7" s="5" cm="1">
        <f t="array" ref="T7">_xlfn.IFS(Q7&gt;=70,25,Q7&gt;=60,24,Q7&gt;=50,23,Q7&gt;=40,22,Q7&gt;=30,21,TRUE,20)</f>
        <v>22</v>
      </c>
      <c r="U7" s="5" cm="1">
        <f t="array" ref="U7">_xlfn.IFS(T7/25*100&gt;=90,4,T7/25*100&gt;=80,3.6,T7/25*100&gt;=70,3.2,T7/25*100&gt;=60,2.8,T7/25*100&gt;=50,2.4,T7/25*100&gt;=40,2,T7/25*100&gt;=35,1.6,TRUE, 0)</f>
        <v>3.6</v>
      </c>
      <c r="V7" s="5" t="str" cm="1">
        <f t="array" ref="V7">_xlfn.IFS(U7=4,"A+",U7=3.6,"A",U7=3.2,"B+",U7=2.8,"B",U7=2.4,"C+",U7=2,"C",U7=1.6,"D",TRUE,"NG")</f>
        <v>A</v>
      </c>
      <c r="W7" s="5">
        <f t="shared" si="2"/>
        <v>3</v>
      </c>
      <c r="X7" s="5" t="str" cm="1">
        <f t="array" ref="X7">_xlfn.IFS(AND(W7&lt;=4,W7&gt;3.6),"A+",AND(W7&lt;=3.6,W7&gt;3.2),"A",AND(W7&lt;=3.2,W7&gt;2.8),"B+",AND(W7&lt;=2.8,W7&gt;2.4),"B",AND(W7&lt;=2.4,W7&gt;2),"C+",AND(W7&lt;=2,W7&gt;1.6),"C",W7=1.6,"D",TRUE,"NG")</f>
        <v>B+</v>
      </c>
      <c r="Y7" s="4">
        <v>53</v>
      </c>
      <c r="Z7" s="5" cm="1">
        <f t="array" ref="Z7">_xlfn.IFS(Y7/75*100&gt;=90,4,Y7/75*100&gt;=80,3.6,Y7/75*100&gt;=70,3.2,Y7/75*100&gt;=60,2.8,Y7/75*100&gt;=50,2.4,Y7/75*100&gt;=40,2,Y7/75*100&gt;=35,1.6,TRUE, 0)</f>
        <v>3.2</v>
      </c>
      <c r="AA7" s="5" t="str" cm="1">
        <f t="array" ref="AA7">_xlfn.IFS(Z7=4,"A+",Z7=3.6,"A",Z7=3.2,"B+",Z7=2.8,"B",Z7=2.4,"C+",Z7=2,"C",Z7=1.6,"D",TRUE,"NG")</f>
        <v>B+</v>
      </c>
      <c r="AB7" s="4">
        <v>23</v>
      </c>
      <c r="AC7" s="5" cm="1">
        <f t="array" ref="AC7">_xlfn.IFS(AB7/25*100&gt;=90,4,AB7/25*100&gt;=80,3.6,AB7/25*100&gt;=70,3.2,AB7/25*100&gt;=60,2.8,AB7/25*100&gt;=50,2.4,AB7/25*100&gt;=40,2,AB7/25*100&gt;=35,1.6,TRUE, 0)</f>
        <v>4</v>
      </c>
      <c r="AD7" s="5" t="str" cm="1">
        <f t="array" ref="AD7">_xlfn.IFS(AC7=4,"A+",AC7=3.6,"A",AC7=3.2,"B+",AC7=2.8,"B",AC7=2.4,"C+",AC7=2,"C",AC7=1.6,"D",TRUE,"NG")</f>
        <v>A+</v>
      </c>
      <c r="AE7" s="5">
        <f t="shared" si="3"/>
        <v>3.4</v>
      </c>
      <c r="AF7" s="5" t="str" cm="1">
        <f t="array" ref="AF7">_xlfn.IFS(AND(AE7&lt;=4,AE7&gt;3.6),"A+",AND(AE7&lt;=3.6,AE7&gt;3.2),"A",AND(AE7&lt;=3.2,AE7&gt;2.8),"B+",AND(AE7&lt;=2.8,AE7&gt;2.4),"B",AND(AE7&lt;=2.4,AE7&gt;2),"C+",AND(AE7&lt;=2,AE7&gt;1.6),"C",AE7=1.6,"D",TRUE,"NG")</f>
        <v>A</v>
      </c>
      <c r="AG7" s="4">
        <v>59</v>
      </c>
      <c r="AH7" s="5" cm="1">
        <f t="array" ref="AH7">_xlfn.IFS(AG7/75*100&gt;=90,4,AG7/75*100&gt;=80,3.6,AG7/75*100&gt;=70,3.2,AG7/75*100&gt;=60,2.8,AG7/75*100&gt;=50,2.4,AG7/75*100&gt;=40,2,AG7/75*100&gt;=35,1.6,TRUE, 0)</f>
        <v>3.2</v>
      </c>
      <c r="AI7" s="5" t="str" cm="1">
        <f t="array" ref="AI7">_xlfn.IFS(AH7=4,"A+",AH7=3.6,"A",AH7=3.2,"B+",AH7=2.8,"B",AH7=2.4,"C+",AH7=2,"C",AH7=1.6,"D",TRUE,"NG")</f>
        <v>B+</v>
      </c>
      <c r="AJ7" s="4">
        <v>23</v>
      </c>
      <c r="AK7" s="5" cm="1">
        <f t="array" ref="AK7">_xlfn.IFS(AJ7/25*100&gt;=90,4,AJ7/25*100&gt;=80,3.6,AJ7/25*100&gt;=70,3.2,AJ7/25*100&gt;=60,2.8,AJ7/25*100&gt;=50,2.4,AJ7/25*100&gt;=40,2,AJ7/25*100&gt;=35,1.6,TRUE, 0)</f>
        <v>4</v>
      </c>
      <c r="AL7" s="5" t="str" cm="1">
        <f t="array" ref="AL7">_xlfn.IFS(AK7=4,"A+",AK7=3.6,"A",AK7=3.2,"B+",AK7=2.8,"B",AK7=2.4,"C+",AK7=2,"C",AK7=1.6,"D",TRUE,"NG")</f>
        <v>A+</v>
      </c>
      <c r="AM7" s="5">
        <f t="shared" si="4"/>
        <v>3.4</v>
      </c>
      <c r="AN7" s="5" t="str" cm="1">
        <f t="array" ref="AN7">_xlfn.IFS(AND(AM7&lt;=4,AM7&gt;3.6),"A+",AND(AM7&lt;=3.6,AM7&gt;3.2),"A",AND(AM7&lt;=3.2,AM7&gt;2.8),"B+",AND(AM7&lt;=2.8,AM7&gt;2.4),"B",AND(AM7&lt;=2.4,AM7&gt;2),"C+",AND(AM7&lt;=2,AM7&gt;1.6),"C",AM7=1.6,"D",TRUE,"NG")</f>
        <v>A</v>
      </c>
      <c r="AO7" s="4">
        <v>57</v>
      </c>
      <c r="AP7" s="5" cm="1">
        <f t="array" ref="AP7">_xlfn.IFS(AO7/75*100&gt;=90,4,AO7/75*100&gt;=80,3.6,AO7/75*100&gt;=70,3.2,AO7/75*100&gt;=60,2.8,AO7/75*100&gt;=50,2.4,AO7/75*100&gt;=40,2,AO7/75*100&gt;=35,1.6,TRUE, 0)</f>
        <v>3.2</v>
      </c>
      <c r="AQ7" s="5" t="str" cm="1">
        <f t="array" ref="AQ7">_xlfn.IFS(AP7=4,"A+",AP7=3.6,"A",AP7=3.2,"B+",AP7=2.8,"B",AP7=2.4,"C+",AP7=2,"C",AP7=1.6,"D",TRUE,"NG")</f>
        <v>B+</v>
      </c>
      <c r="AR7" s="5" cm="1">
        <f t="array" ref="AR7">_xlfn.IFS(AO7&gt;=70,25,AO7&gt;=60,24,AO7&gt;=50,23,AO7&gt;=40,22,AO7&gt;=30,21,TRUE,20)</f>
        <v>23</v>
      </c>
      <c r="AS7" s="5" cm="1">
        <f t="array" ref="AS7">_xlfn.IFS(AR7/25*100&gt;=90,4,AR7/25*100&gt;=80,3.6,AR7/25*100&gt;=70,3.2,AR7/25*100&gt;=60,2.8,AR7/25*100&gt;=50,2.4,AR7/25*100&gt;=40,2,AR7/25*100&gt;=35,1.6,TRUE, 0)</f>
        <v>4</v>
      </c>
      <c r="AT7" s="5" t="str" cm="1">
        <f t="array" ref="AT7">_xlfn.IFS(AS7=4,"A+",AS7=3.6,"A",AS7=3.2,"B+",AS7=2.8,"B",AS7=2.4,"C+",AS7=2,"C",AS7=1.6,"D",TRUE,"NG")</f>
        <v>A+</v>
      </c>
      <c r="AU7" s="5">
        <f t="shared" si="5"/>
        <v>3.4</v>
      </c>
      <c r="AV7" s="5" t="str" cm="1">
        <f t="array" ref="AV7">_xlfn.IFS(AND(AU7&lt;=4,AU7&gt;3.6),"A+",AND(AU7&lt;=3.6,AU7&gt;3.2),"A",AND(AU7&lt;=3.2,AU7&gt;2.8),"B+",AND(AU7&lt;=2.8,AU7&gt;2.4),"B",AND(AU7&lt;=2.4,AU7&gt;2),"C+",AND(AU7&lt;=2,AU7&gt;1.6),"C",AU7=1.6,"D",TRUE,"NG")</f>
        <v>A</v>
      </c>
      <c r="AW7" s="4">
        <v>39</v>
      </c>
      <c r="AX7" s="5" cm="1">
        <f t="array" ref="AX7">_xlfn.IFS(AW7="-","-",AW7/75*100&gt;=90,4,AW7/75*100&gt;=80,3.6,AW7/75*100&gt;=70,3.2,AW7/75*100&gt;=60,2.8,AW7/75*100&gt;=50,2.4,AW7/75*100&gt;=40,2,AW7/75*100&gt;=35,1.6,TRUE, 0)</f>
        <v>2.4</v>
      </c>
      <c r="AY7" s="5" t="str" cm="1">
        <f t="array" ref="AY7">_xlfn.IFS(AX7="-","-",AX7=4,"A+",AX7=3.6,"A",AX7=3.2,"B+",AX7=2.8,"B",AX7=2.4,"C+",AX7=2,"C",AX7=1.6,"D",TRUE,"NG")</f>
        <v>C+</v>
      </c>
      <c r="AZ7" s="4">
        <v>22</v>
      </c>
      <c r="BA7" s="5" cm="1">
        <f t="array" ref="BA7">_xlfn.IFS(AZ7="-","-",AZ7/25*100&gt;=90,4,AZ7/25*100&gt;=80,3.6,AZ7/25*100&gt;=70,3.2,AZ7/25*100&gt;=60,2.8,AZ7/25*100&gt;=50,2.4,AZ7/25*100&gt;=40,2,AZ7/25*100&gt;=35,1.6,TRUE, 0)</f>
        <v>3.6</v>
      </c>
      <c r="BB7" s="5" t="str" cm="1">
        <f t="array" ref="BB7">_xlfn.IFS(BA7="-","-",BA7=4,"A+",BA7=3.6,"A",BA7=3.2,"B+",BA7=2.8,"B",BA7=2.4,"C+",BA7=2,"C",BA7=1.6,"D",TRUE,"NG")</f>
        <v>A</v>
      </c>
      <c r="BC7" s="5">
        <f t="shared" si="6"/>
        <v>2.7</v>
      </c>
      <c r="BD7" s="5" t="str" cm="1">
        <f t="array" ref="BD7">_xlfn.IFS(BC7="-","-",AND(BC7&lt;=4,BC7&gt;3.6),"A+",AND(BC7&lt;=3.6,BC7&gt;3.2),"A",AND(BC7&lt;=3.2,BC7&gt;2.8),"B+",AND(BC7&lt;=2.8,BC7&gt;2.4),"B",AND(BC7&lt;=2.4,BC7&gt;2),"C+",AND(BC7&lt;=2,BC7&gt;1.6),"C",BC7=1.6,"D",TRUE,"NG")</f>
        <v>B</v>
      </c>
      <c r="BE7" s="4" t="s">
        <v>63</v>
      </c>
      <c r="BF7" t="str" cm="1">
        <f t="array" ref="BF7">_xlfn.IFS(BE7="-","-",BE7/50*100&gt;=90,4,BE7/50*100&gt;=80,3.6,BE7/50*100&gt;=70,3.2,BE7/50*100&gt;=60,2.8,BE7/50*100&gt;=50,2.4,BE7/50*100&gt;=40,2,BE7/50*100&gt;=35,1.6,TRUE, 0)</f>
        <v>-</v>
      </c>
      <c r="BG7" t="str" cm="1">
        <f t="array" ref="BG7">_xlfn.IFS(BF7="-","-",BF7=4,"A+",BF7=3.6,"A",BF7=3.2,"B+",BF7=2.8,"B",BF7=2.4,"C+",BF7=2,"C",BF7=1.6,"D",TRUE,"NG")</f>
        <v>-</v>
      </c>
      <c r="BH7" s="4" t="s">
        <v>63</v>
      </c>
      <c r="BI7" t="str" cm="1">
        <f t="array" ref="BI7">_xlfn.IFS(BH7="-","-",BH7/50*100&gt;=90,4,BH7/50*100&gt;=80,3.6,BH7/50*100&gt;=70,3.2,BH7/50*100&gt;=60,2.8,BH7/50*100&gt;=50,2.4,BH7/50*100&gt;=40,2,BH7/50*100&gt;=35,1.6,TRUE, 0)</f>
        <v>-</v>
      </c>
      <c r="BJ7" t="str" cm="1">
        <f t="array" ref="BJ7">_xlfn.IFS(BI7="-","-",BI7=4,"A+",BI7=3.6,"A",BI7=3.2,"B+",BI7=2.8,"B",BI7=2.4,"C+",BI7=2,"C",BI7=1.6,"D",TRUE,"NG")</f>
        <v>-</v>
      </c>
      <c r="BK7" t="str">
        <f t="shared" si="7"/>
        <v>-</v>
      </c>
      <c r="BL7" t="str" cm="1">
        <f t="array" ref="BL7">_xlfn.IFS(BK7="-","-",AND(BK7&lt;=4,BK7&gt;3.6),"A+",AND(BK7&lt;=3.6,BK7&gt;3.2),"A",AND(BK7&lt;=3.2,BK7&gt;2.8),"B+",AND(BK7&lt;=2.8,BK7&gt;2.4),"B",AND(BK7&lt;=2.4,BK7&gt;2),"C+",AND(BK7&lt;=2,BK7&gt;1.6),"C",BK7=1.6,"D",TRUE,"NG")</f>
        <v>-</v>
      </c>
      <c r="BM7" s="9" cm="1">
        <f t="array" ref="BM7">_xlfn.IFS(AW7&lt;&gt;"-",((J7*3+M7*1)+(R7*2.25+U7*0.75)+(Z7*3.75+AC7*1.25)+(AH7*3.75+AK7*1.25)+(AP7*3.75+AS7*1.25)+(AX7*3.75+BA7*1.25))/(4+3+5*4),BE7&lt;&gt;"-",((J7*3+M7*1)+(R7*2.25+U7*0.75)+(Z7*3.75+AC7*1.25)+(AH7*3.75+AK7*1.25)+(AP7*3.75+AS7*1.25)+(BF7*2.5+BI7*2.5))/(4+3+5*4))</f>
        <v>3.2111111111111112</v>
      </c>
    </row>
    <row r="8" spans="1:65" x14ac:dyDescent="0.3">
      <c r="A8" s="2">
        <v>107</v>
      </c>
      <c r="B8" s="12">
        <v>793270280015</v>
      </c>
      <c r="C8" s="13">
        <v>12706866</v>
      </c>
      <c r="D8" s="14" t="s">
        <v>73</v>
      </c>
      <c r="E8" s="3" t="s">
        <v>64</v>
      </c>
      <c r="F8" s="15">
        <v>59210</v>
      </c>
      <c r="G8" s="3" t="str">
        <f t="shared" si="0"/>
        <v>2062/02/08</v>
      </c>
      <c r="H8" s="3" t="str" cm="1">
        <f t="array" ref="H8">[1]!bs2ad(G8)</f>
        <v>2005-5-21</v>
      </c>
      <c r="I8" s="4">
        <v>55</v>
      </c>
      <c r="J8" s="5" cm="1">
        <f t="array" ref="J8">_xlfn.IFS(I8/75*100&gt;=90,4,I8/75*100&gt;=80,3.6,I8/75*100&gt;=70,3.2,I8/75*100&gt;=60,2.8,I8/75*100&gt;=50,2.4,I8/75*100&gt;=40,2,I8/75*100&gt;=35,1.6,TRUE, 0)</f>
        <v>3.2</v>
      </c>
      <c r="K8" s="5" t="str" cm="1">
        <f t="array" ref="K8">_xlfn.IFS(J8=4,"A+",J8=3.6,"A",J8=3.2,"B+",J8=2.8,"B",J8=2.4,"C+",J8=2,"C",J8=1.6,"D",TRUE,"NG")</f>
        <v>B+</v>
      </c>
      <c r="L8" s="4">
        <v>25</v>
      </c>
      <c r="M8" s="5" cm="1">
        <f t="array" ref="M8">_xlfn.IFS(L8/25*100&gt;=90,4,L8/25*100&gt;=80,3.6,L8/25*100&gt;=70,3.2,L8/25*100&gt;=60,2.8,L8/25*100&gt;=50,2.4,L8/25*100&gt;=40,2,L8/25*100&gt;=35,1.6,TRUE, 0)</f>
        <v>4</v>
      </c>
      <c r="N8" s="5" t="str" cm="1">
        <f t="array" ref="N8">_xlfn.IFS(M8=4,"A+",M8=3.6,"A",M8=3.2,"B+",M8=2.8,"B",M8=2.4,"C+",M8=2,"C",M8=1.6,"D",TRUE,"NG")</f>
        <v>A+</v>
      </c>
      <c r="O8" s="5">
        <f t="shared" si="1"/>
        <v>3.4000000000000004</v>
      </c>
      <c r="P8" s="5" t="str" cm="1">
        <f t="array" ref="P8">_xlfn.IFS(AND(O8&lt;=4,O8&gt;3.6),"A+",AND(O8&lt;=3.6,O8&gt;3.2),"A",AND(O8&lt;=3.2,O8&gt;2.8),"B+",AND(O8&lt;=2.8,O8&gt;2.4),"B",AND(O8&lt;=2.4,O8&gt;2),"C+",AND(O8&lt;=2,O8&gt;1.6),"C",O8=1.6,"D",TRUE,"NG")</f>
        <v>A</v>
      </c>
      <c r="Q8" s="4">
        <v>51</v>
      </c>
      <c r="R8" s="5" cm="1">
        <f t="array" ref="R8">_xlfn.IFS(Q8/75*100&gt;=90,4,Q8/75*100&gt;=80,3.6,Q8/75*100&gt;=70,3.2,Q8/75*100&gt;=60,2.8,Q8/75*100&gt;=50,2.4,Q8/75*100&gt;=40,2,Q8/75*100&gt;=35,1.6,TRUE, 0)</f>
        <v>2.8</v>
      </c>
      <c r="S8" s="5" t="str" cm="1">
        <f t="array" ref="S8">_xlfn.IFS(R8=4,"A+",R8=3.6,"A",R8=3.2,"B+",R8=2.8,"B",R8=2.4,"C+",R8=2,"C",R8=1.6,"D",TRUE,"NG")</f>
        <v>B</v>
      </c>
      <c r="T8" s="5" cm="1">
        <f t="array" ref="T8">_xlfn.IFS(Q8&gt;=70,25,Q8&gt;=60,24,Q8&gt;=50,23,Q8&gt;=40,22,Q8&gt;=30,21,TRUE,20)</f>
        <v>23</v>
      </c>
      <c r="U8" s="5" cm="1">
        <f t="array" ref="U8">_xlfn.IFS(T8/25*100&gt;=90,4,T8/25*100&gt;=80,3.6,T8/25*100&gt;=70,3.2,T8/25*100&gt;=60,2.8,T8/25*100&gt;=50,2.4,T8/25*100&gt;=40,2,T8/25*100&gt;=35,1.6,TRUE, 0)</f>
        <v>4</v>
      </c>
      <c r="V8" s="5" t="str" cm="1">
        <f t="array" ref="V8">_xlfn.IFS(U8=4,"A+",U8=3.6,"A",U8=3.2,"B+",U8=2.8,"B",U8=2.4,"C+",U8=2,"C",U8=1.6,"D",TRUE,"NG")</f>
        <v>A+</v>
      </c>
      <c r="W8" s="5">
        <f t="shared" si="2"/>
        <v>3.1</v>
      </c>
      <c r="X8" s="5" t="str" cm="1">
        <f t="array" ref="X8">_xlfn.IFS(AND(W8&lt;=4,W8&gt;3.6),"A+",AND(W8&lt;=3.6,W8&gt;3.2),"A",AND(W8&lt;=3.2,W8&gt;2.8),"B+",AND(W8&lt;=2.8,W8&gt;2.4),"B",AND(W8&lt;=2.4,W8&gt;2),"C+",AND(W8&lt;=2,W8&gt;1.6),"C",W8=1.6,"D",TRUE,"NG")</f>
        <v>B+</v>
      </c>
      <c r="Y8" s="4">
        <v>56</v>
      </c>
      <c r="Z8" s="5" cm="1">
        <f t="array" ref="Z8">_xlfn.IFS(Y8/75*100&gt;=90,4,Y8/75*100&gt;=80,3.6,Y8/75*100&gt;=70,3.2,Y8/75*100&gt;=60,2.8,Y8/75*100&gt;=50,2.4,Y8/75*100&gt;=40,2,Y8/75*100&gt;=35,1.6,TRUE, 0)</f>
        <v>3.2</v>
      </c>
      <c r="AA8" s="5" t="str" cm="1">
        <f t="array" ref="AA8">_xlfn.IFS(Z8=4,"A+",Z8=3.6,"A",Z8=3.2,"B+",Z8=2.8,"B",Z8=2.4,"C+",Z8=2,"C",Z8=1.6,"D",TRUE,"NG")</f>
        <v>B+</v>
      </c>
      <c r="AB8" s="4">
        <v>25</v>
      </c>
      <c r="AC8" s="5" cm="1">
        <f t="array" ref="AC8">_xlfn.IFS(AB8/25*100&gt;=90,4,AB8/25*100&gt;=80,3.6,AB8/25*100&gt;=70,3.2,AB8/25*100&gt;=60,2.8,AB8/25*100&gt;=50,2.4,AB8/25*100&gt;=40,2,AB8/25*100&gt;=35,1.6,TRUE, 0)</f>
        <v>4</v>
      </c>
      <c r="AD8" s="5" t="str" cm="1">
        <f t="array" ref="AD8">_xlfn.IFS(AC8=4,"A+",AC8=3.6,"A",AC8=3.2,"B+",AC8=2.8,"B",AC8=2.4,"C+",AC8=2,"C",AC8=1.6,"D",TRUE,"NG")</f>
        <v>A+</v>
      </c>
      <c r="AE8" s="5">
        <f t="shared" si="3"/>
        <v>3.4</v>
      </c>
      <c r="AF8" s="5" t="str" cm="1">
        <f t="array" ref="AF8">_xlfn.IFS(AND(AE8&lt;=4,AE8&gt;3.6),"A+",AND(AE8&lt;=3.6,AE8&gt;3.2),"A",AND(AE8&lt;=3.2,AE8&gt;2.8),"B+",AND(AE8&lt;=2.8,AE8&gt;2.4),"B",AND(AE8&lt;=2.4,AE8&gt;2),"C+",AND(AE8&lt;=2,AE8&gt;1.6),"C",AE8=1.6,"D",TRUE,"NG")</f>
        <v>A</v>
      </c>
      <c r="AG8" s="4">
        <v>53</v>
      </c>
      <c r="AH8" s="5" cm="1">
        <f t="array" ref="AH8">_xlfn.IFS(AG8/75*100&gt;=90,4,AG8/75*100&gt;=80,3.6,AG8/75*100&gt;=70,3.2,AG8/75*100&gt;=60,2.8,AG8/75*100&gt;=50,2.4,AG8/75*100&gt;=40,2,AG8/75*100&gt;=35,1.6,TRUE, 0)</f>
        <v>3.2</v>
      </c>
      <c r="AI8" s="5" t="str" cm="1">
        <f t="array" ref="AI8">_xlfn.IFS(AH8=4,"A+",AH8=3.6,"A",AH8=3.2,"B+",AH8=2.8,"B",AH8=2.4,"C+",AH8=2,"C",AH8=1.6,"D",TRUE,"NG")</f>
        <v>B+</v>
      </c>
      <c r="AJ8" s="4">
        <v>24</v>
      </c>
      <c r="AK8" s="5" cm="1">
        <f t="array" ref="AK8">_xlfn.IFS(AJ8/25*100&gt;=90,4,AJ8/25*100&gt;=80,3.6,AJ8/25*100&gt;=70,3.2,AJ8/25*100&gt;=60,2.8,AJ8/25*100&gt;=50,2.4,AJ8/25*100&gt;=40,2,AJ8/25*100&gt;=35,1.6,TRUE, 0)</f>
        <v>4</v>
      </c>
      <c r="AL8" s="5" t="str" cm="1">
        <f t="array" ref="AL8">_xlfn.IFS(AK8=4,"A+",AK8=3.6,"A",AK8=3.2,"B+",AK8=2.8,"B",AK8=2.4,"C+",AK8=2,"C",AK8=1.6,"D",TRUE,"NG")</f>
        <v>A+</v>
      </c>
      <c r="AM8" s="5">
        <f t="shared" si="4"/>
        <v>3.4</v>
      </c>
      <c r="AN8" s="5" t="str" cm="1">
        <f t="array" ref="AN8">_xlfn.IFS(AND(AM8&lt;=4,AM8&gt;3.6),"A+",AND(AM8&lt;=3.6,AM8&gt;3.2),"A",AND(AM8&lt;=3.2,AM8&gt;2.8),"B+",AND(AM8&lt;=2.8,AM8&gt;2.4),"B",AND(AM8&lt;=2.4,AM8&gt;2),"C+",AND(AM8&lt;=2,AM8&gt;1.6),"C",AM8=1.6,"D",TRUE,"NG")</f>
        <v>A</v>
      </c>
      <c r="AO8" s="4">
        <v>54</v>
      </c>
      <c r="AP8" s="5" cm="1">
        <f t="array" ref="AP8">_xlfn.IFS(AO8/75*100&gt;=90,4,AO8/75*100&gt;=80,3.6,AO8/75*100&gt;=70,3.2,AO8/75*100&gt;=60,2.8,AO8/75*100&gt;=50,2.4,AO8/75*100&gt;=40,2,AO8/75*100&gt;=35,1.6,TRUE, 0)</f>
        <v>3.2</v>
      </c>
      <c r="AQ8" s="5" t="str" cm="1">
        <f t="array" ref="AQ8">_xlfn.IFS(AP8=4,"A+",AP8=3.6,"A",AP8=3.2,"B+",AP8=2.8,"B",AP8=2.4,"C+",AP8=2,"C",AP8=1.6,"D",TRUE,"NG")</f>
        <v>B+</v>
      </c>
      <c r="AR8" s="5" cm="1">
        <f t="array" ref="AR8">_xlfn.IFS(AO8&gt;=70,25,AO8&gt;=60,24,AO8&gt;=50,23,AO8&gt;=40,22,AO8&gt;=30,21,TRUE,20)</f>
        <v>23</v>
      </c>
      <c r="AS8" s="5" cm="1">
        <f t="array" ref="AS8">_xlfn.IFS(AR8/25*100&gt;=90,4,AR8/25*100&gt;=80,3.6,AR8/25*100&gt;=70,3.2,AR8/25*100&gt;=60,2.8,AR8/25*100&gt;=50,2.4,AR8/25*100&gt;=40,2,AR8/25*100&gt;=35,1.6,TRUE, 0)</f>
        <v>4</v>
      </c>
      <c r="AT8" s="5" t="str" cm="1">
        <f t="array" ref="AT8">_xlfn.IFS(AS8=4,"A+",AS8=3.6,"A",AS8=3.2,"B+",AS8=2.8,"B",AS8=2.4,"C+",AS8=2,"C",AS8=1.6,"D",TRUE,"NG")</f>
        <v>A+</v>
      </c>
      <c r="AU8" s="5">
        <f t="shared" si="5"/>
        <v>3.4</v>
      </c>
      <c r="AV8" s="5" t="str" cm="1">
        <f t="array" ref="AV8">_xlfn.IFS(AND(AU8&lt;=4,AU8&gt;3.6),"A+",AND(AU8&lt;=3.6,AU8&gt;3.2),"A",AND(AU8&lt;=3.2,AU8&gt;2.8),"B+",AND(AU8&lt;=2.8,AU8&gt;2.4),"B",AND(AU8&lt;=2.4,AU8&gt;2),"C+",AND(AU8&lt;=2,AU8&gt;1.6),"C",AU8=1.6,"D",TRUE,"NG")</f>
        <v>A</v>
      </c>
      <c r="AW8" s="4">
        <v>46</v>
      </c>
      <c r="AX8" s="5" cm="1">
        <f t="array" ref="AX8">_xlfn.IFS(AW8="-","-",AW8/75*100&gt;=90,4,AW8/75*100&gt;=80,3.6,AW8/75*100&gt;=70,3.2,AW8/75*100&gt;=60,2.8,AW8/75*100&gt;=50,2.4,AW8/75*100&gt;=40,2,AW8/75*100&gt;=35,1.6,TRUE, 0)</f>
        <v>2.8</v>
      </c>
      <c r="AY8" s="5" t="str" cm="1">
        <f t="array" ref="AY8">_xlfn.IFS(AX8="-","-",AX8=4,"A+",AX8=3.6,"A",AX8=3.2,"B+",AX8=2.8,"B",AX8=2.4,"C+",AX8=2,"C",AX8=1.6,"D",TRUE,"NG")</f>
        <v>B</v>
      </c>
      <c r="AZ8" s="4">
        <v>24</v>
      </c>
      <c r="BA8" s="5" cm="1">
        <f t="array" ref="BA8">_xlfn.IFS(AZ8="-","-",AZ8/25*100&gt;=90,4,AZ8/25*100&gt;=80,3.6,AZ8/25*100&gt;=70,3.2,AZ8/25*100&gt;=60,2.8,AZ8/25*100&gt;=50,2.4,AZ8/25*100&gt;=40,2,AZ8/25*100&gt;=35,1.6,TRUE, 0)</f>
        <v>4</v>
      </c>
      <c r="BB8" s="5" t="str" cm="1">
        <f t="array" ref="BB8">_xlfn.IFS(BA8="-","-",BA8=4,"A+",BA8=3.6,"A",BA8=3.2,"B+",BA8=2.8,"B",BA8=2.4,"C+",BA8=2,"C",BA8=1.6,"D",TRUE,"NG")</f>
        <v>A+</v>
      </c>
      <c r="BC8" s="5">
        <f t="shared" si="6"/>
        <v>3.1</v>
      </c>
      <c r="BD8" s="5" t="str" cm="1">
        <f t="array" ref="BD8">_xlfn.IFS(BC8="-","-",AND(BC8&lt;=4,BC8&gt;3.6),"A+",AND(BC8&lt;=3.6,BC8&gt;3.2),"A",AND(BC8&lt;=3.2,BC8&gt;2.8),"B+",AND(BC8&lt;=2.8,BC8&gt;2.4),"B",AND(BC8&lt;=2.4,BC8&gt;2),"C+",AND(BC8&lt;=2,BC8&gt;1.6),"C",BC8=1.6,"D",TRUE,"NG")</f>
        <v>B+</v>
      </c>
      <c r="BE8" s="4" t="s">
        <v>63</v>
      </c>
      <c r="BF8" t="str" cm="1">
        <f t="array" ref="BF8">_xlfn.IFS(BE8="-","-",BE8/50*100&gt;=90,4,BE8/50*100&gt;=80,3.6,BE8/50*100&gt;=70,3.2,BE8/50*100&gt;=60,2.8,BE8/50*100&gt;=50,2.4,BE8/50*100&gt;=40,2,BE8/50*100&gt;=35,1.6,TRUE, 0)</f>
        <v>-</v>
      </c>
      <c r="BG8" t="str" cm="1">
        <f t="array" ref="BG8">_xlfn.IFS(BF8="-","-",BF8=4,"A+",BF8=3.6,"A",BF8=3.2,"B+",BF8=2.8,"B",BF8=2.4,"C+",BF8=2,"C",BF8=1.6,"D",TRUE,"NG")</f>
        <v>-</v>
      </c>
      <c r="BH8" s="4" t="s">
        <v>63</v>
      </c>
      <c r="BI8" t="str" cm="1">
        <f t="array" ref="BI8">_xlfn.IFS(BH8="-","-",BH8/50*100&gt;=90,4,BH8/50*100&gt;=80,3.6,BH8/50*100&gt;=70,3.2,BH8/50*100&gt;=60,2.8,BH8/50*100&gt;=50,2.4,BH8/50*100&gt;=40,2,BH8/50*100&gt;=35,1.6,TRUE, 0)</f>
        <v>-</v>
      </c>
      <c r="BJ8" t="str" cm="1">
        <f t="array" ref="BJ8">_xlfn.IFS(BI8="-","-",BI8=4,"A+",BI8=3.6,"A",BI8=3.2,"B+",BI8=2.8,"B",BI8=2.4,"C+",BI8=2,"C",BI8=1.6,"D",TRUE,"NG")</f>
        <v>-</v>
      </c>
      <c r="BK8" t="str">
        <f t="shared" si="7"/>
        <v>-</v>
      </c>
      <c r="BL8" t="str" cm="1">
        <f t="array" ref="BL8">_xlfn.IFS(BK8="-","-",AND(BK8&lt;=4,BK8&gt;3.6),"A+",AND(BK8&lt;=3.6,BK8&gt;3.2),"A",AND(BK8&lt;=3.2,BK8&gt;2.8),"B+",AND(BK8&lt;=2.8,BK8&gt;2.4),"B",AND(BK8&lt;=2.4,BK8&gt;2),"C+",AND(BK8&lt;=2,BK8&gt;1.6),"C",BK8=1.6,"D",TRUE,"NG")</f>
        <v>-</v>
      </c>
      <c r="BM8" s="9" cm="1">
        <f t="array" ref="BM8">_xlfn.IFS(AW8&lt;&gt;"-",((J8*3+M8*1)+(R8*2.25+U8*0.75)+(Z8*3.75+AC8*1.25)+(AH8*3.75+AK8*1.25)+(AP8*3.75+AS8*1.25)+(AX8*3.75+BA8*1.25))/(4+3+5*4),BE8&lt;&gt;"-",((J8*3+M8*1)+(R8*2.25+U8*0.75)+(Z8*3.75+AC8*1.25)+(AH8*3.75+AK8*1.25)+(AP8*3.75+AS8*1.25)+(BF8*2.5+BI8*2.5))/(4+3+5*4))</f>
        <v>3.3111111111111113</v>
      </c>
    </row>
    <row r="9" spans="1:65" x14ac:dyDescent="0.3">
      <c r="A9" s="2">
        <v>108</v>
      </c>
      <c r="B9" s="12">
        <v>793270280016</v>
      </c>
      <c r="C9" s="13">
        <v>12706867</v>
      </c>
      <c r="D9" s="14" t="s">
        <v>74</v>
      </c>
      <c r="E9" s="3" t="s">
        <v>64</v>
      </c>
      <c r="F9" s="15">
        <v>59044</v>
      </c>
      <c r="G9" s="3" t="str">
        <f t="shared" si="0"/>
        <v>2061/08/26</v>
      </c>
      <c r="H9" s="3" t="str" cm="1">
        <f t="array" ref="H9">[1]!bs2ad(G9)</f>
        <v>2004-12-11</v>
      </c>
      <c r="I9" s="4">
        <v>49</v>
      </c>
      <c r="J9" s="5" cm="1">
        <f t="array" ref="J9">_xlfn.IFS(I9/75*100&gt;=90,4,I9/75*100&gt;=80,3.6,I9/75*100&gt;=70,3.2,I9/75*100&gt;=60,2.8,I9/75*100&gt;=50,2.4,I9/75*100&gt;=40,2,I9/75*100&gt;=35,1.6,TRUE, 0)</f>
        <v>2.8</v>
      </c>
      <c r="K9" s="5" t="str" cm="1">
        <f t="array" ref="K9">_xlfn.IFS(J9=4,"A+",J9=3.6,"A",J9=3.2,"B+",J9=2.8,"B",J9=2.4,"C+",J9=2,"C",J9=1.6,"D",TRUE,"NG")</f>
        <v>B</v>
      </c>
      <c r="L9" s="4">
        <v>25</v>
      </c>
      <c r="M9" s="5" cm="1">
        <f t="array" ref="M9">_xlfn.IFS(L9/25*100&gt;=90,4,L9/25*100&gt;=80,3.6,L9/25*100&gt;=70,3.2,L9/25*100&gt;=60,2.8,L9/25*100&gt;=50,2.4,L9/25*100&gt;=40,2,L9/25*100&gt;=35,1.6,TRUE, 0)</f>
        <v>4</v>
      </c>
      <c r="N9" s="5" t="str" cm="1">
        <f t="array" ref="N9">_xlfn.IFS(M9=4,"A+",M9=3.6,"A",M9=3.2,"B+",M9=2.8,"B",M9=2.4,"C+",M9=2,"C",M9=1.6,"D",TRUE,"NG")</f>
        <v>A+</v>
      </c>
      <c r="O9" s="5">
        <f t="shared" si="1"/>
        <v>3.0999999999999996</v>
      </c>
      <c r="P9" s="5" t="str" cm="1">
        <f t="array" ref="P9">_xlfn.IFS(AND(O9&lt;=4,O9&gt;3.6),"A+",AND(O9&lt;=3.6,O9&gt;3.2),"A",AND(O9&lt;=3.2,O9&gt;2.8),"B+",AND(O9&lt;=2.8,O9&gt;2.4),"B",AND(O9&lt;=2.4,O9&gt;2),"C+",AND(O9&lt;=2,O9&gt;1.6),"C",O9=1.6,"D",TRUE,"NG")</f>
        <v>B+</v>
      </c>
      <c r="Q9" s="4">
        <v>50</v>
      </c>
      <c r="R9" s="5" cm="1">
        <f t="array" ref="R9">_xlfn.IFS(Q9/75*100&gt;=90,4,Q9/75*100&gt;=80,3.6,Q9/75*100&gt;=70,3.2,Q9/75*100&gt;=60,2.8,Q9/75*100&gt;=50,2.4,Q9/75*100&gt;=40,2,Q9/75*100&gt;=35,1.6,TRUE, 0)</f>
        <v>2.8</v>
      </c>
      <c r="S9" s="5" t="str" cm="1">
        <f t="array" ref="S9">_xlfn.IFS(R9=4,"A+",R9=3.6,"A",R9=3.2,"B+",R9=2.8,"B",R9=2.4,"C+",R9=2,"C",R9=1.6,"D",TRUE,"NG")</f>
        <v>B</v>
      </c>
      <c r="T9" s="5" cm="1">
        <f t="array" ref="T9">_xlfn.IFS(Q9&gt;=70,25,Q9&gt;=60,24,Q9&gt;=50,23,Q9&gt;=40,22,Q9&gt;=30,21,TRUE,20)</f>
        <v>23</v>
      </c>
      <c r="U9" s="5" cm="1">
        <f t="array" ref="U9">_xlfn.IFS(T9/25*100&gt;=90,4,T9/25*100&gt;=80,3.6,T9/25*100&gt;=70,3.2,T9/25*100&gt;=60,2.8,T9/25*100&gt;=50,2.4,T9/25*100&gt;=40,2,T9/25*100&gt;=35,1.6,TRUE, 0)</f>
        <v>4</v>
      </c>
      <c r="V9" s="5" t="str" cm="1">
        <f t="array" ref="V9">_xlfn.IFS(U9=4,"A+",U9=3.6,"A",U9=3.2,"B+",U9=2.8,"B",U9=2.4,"C+",U9=2,"C",U9=1.6,"D",TRUE,"NG")</f>
        <v>A+</v>
      </c>
      <c r="W9" s="5">
        <f t="shared" si="2"/>
        <v>3.1</v>
      </c>
      <c r="X9" s="5" t="str" cm="1">
        <f t="array" ref="X9">_xlfn.IFS(AND(W9&lt;=4,W9&gt;3.6),"A+",AND(W9&lt;=3.6,W9&gt;3.2),"A",AND(W9&lt;=3.2,W9&gt;2.8),"B+",AND(W9&lt;=2.8,W9&gt;2.4),"B",AND(W9&lt;=2.4,W9&gt;2),"C+",AND(W9&lt;=2,W9&gt;1.6),"C",W9=1.6,"D",TRUE,"NG")</f>
        <v>B+</v>
      </c>
      <c r="Y9" s="4">
        <v>59</v>
      </c>
      <c r="Z9" s="5" cm="1">
        <f t="array" ref="Z9">_xlfn.IFS(Y9/75*100&gt;=90,4,Y9/75*100&gt;=80,3.6,Y9/75*100&gt;=70,3.2,Y9/75*100&gt;=60,2.8,Y9/75*100&gt;=50,2.4,Y9/75*100&gt;=40,2,Y9/75*100&gt;=35,1.6,TRUE, 0)</f>
        <v>3.2</v>
      </c>
      <c r="AA9" s="5" t="str" cm="1">
        <f t="array" ref="AA9">_xlfn.IFS(Z9=4,"A+",Z9=3.6,"A",Z9=3.2,"B+",Z9=2.8,"B",Z9=2.4,"C+",Z9=2,"C",Z9=1.6,"D",TRUE,"NG")</f>
        <v>B+</v>
      </c>
      <c r="AB9" s="4">
        <v>23</v>
      </c>
      <c r="AC9" s="5" cm="1">
        <f t="array" ref="AC9">_xlfn.IFS(AB9/25*100&gt;=90,4,AB9/25*100&gt;=80,3.6,AB9/25*100&gt;=70,3.2,AB9/25*100&gt;=60,2.8,AB9/25*100&gt;=50,2.4,AB9/25*100&gt;=40,2,AB9/25*100&gt;=35,1.6,TRUE, 0)</f>
        <v>4</v>
      </c>
      <c r="AD9" s="5" t="str" cm="1">
        <f t="array" ref="AD9">_xlfn.IFS(AC9=4,"A+",AC9=3.6,"A",AC9=3.2,"B+",AC9=2.8,"B",AC9=2.4,"C+",AC9=2,"C",AC9=1.6,"D",TRUE,"NG")</f>
        <v>A+</v>
      </c>
      <c r="AE9" s="5">
        <f t="shared" si="3"/>
        <v>3.4</v>
      </c>
      <c r="AF9" s="5" t="str" cm="1">
        <f t="array" ref="AF9">_xlfn.IFS(AND(AE9&lt;=4,AE9&gt;3.6),"A+",AND(AE9&lt;=3.6,AE9&gt;3.2),"A",AND(AE9&lt;=3.2,AE9&gt;2.8),"B+",AND(AE9&lt;=2.8,AE9&gt;2.4),"B",AND(AE9&lt;=2.4,AE9&gt;2),"C+",AND(AE9&lt;=2,AE9&gt;1.6),"C",AE9=1.6,"D",TRUE,"NG")</f>
        <v>A</v>
      </c>
      <c r="AG9" s="4">
        <v>54</v>
      </c>
      <c r="AH9" s="5" cm="1">
        <f t="array" ref="AH9">_xlfn.IFS(AG9/75*100&gt;=90,4,AG9/75*100&gt;=80,3.6,AG9/75*100&gt;=70,3.2,AG9/75*100&gt;=60,2.8,AG9/75*100&gt;=50,2.4,AG9/75*100&gt;=40,2,AG9/75*100&gt;=35,1.6,TRUE, 0)</f>
        <v>3.2</v>
      </c>
      <c r="AI9" s="5" t="str" cm="1">
        <f t="array" ref="AI9">_xlfn.IFS(AH9=4,"A+",AH9=3.6,"A",AH9=3.2,"B+",AH9=2.8,"B",AH9=2.4,"C+",AH9=2,"C",AH9=1.6,"D",TRUE,"NG")</f>
        <v>B+</v>
      </c>
      <c r="AJ9" s="4">
        <v>24</v>
      </c>
      <c r="AK9" s="5" cm="1">
        <f t="array" ref="AK9">_xlfn.IFS(AJ9/25*100&gt;=90,4,AJ9/25*100&gt;=80,3.6,AJ9/25*100&gt;=70,3.2,AJ9/25*100&gt;=60,2.8,AJ9/25*100&gt;=50,2.4,AJ9/25*100&gt;=40,2,AJ9/25*100&gt;=35,1.6,TRUE, 0)</f>
        <v>4</v>
      </c>
      <c r="AL9" s="5" t="str" cm="1">
        <f t="array" ref="AL9">_xlfn.IFS(AK9=4,"A+",AK9=3.6,"A",AK9=3.2,"B+",AK9=2.8,"B",AK9=2.4,"C+",AK9=2,"C",AK9=1.6,"D",TRUE,"NG")</f>
        <v>A+</v>
      </c>
      <c r="AM9" s="5">
        <f t="shared" si="4"/>
        <v>3.4</v>
      </c>
      <c r="AN9" s="5" t="str" cm="1">
        <f t="array" ref="AN9">_xlfn.IFS(AND(AM9&lt;=4,AM9&gt;3.6),"A+",AND(AM9&lt;=3.6,AM9&gt;3.2),"A",AND(AM9&lt;=3.2,AM9&gt;2.8),"B+",AND(AM9&lt;=2.8,AM9&gt;2.4),"B",AND(AM9&lt;=2.4,AM9&gt;2),"C+",AND(AM9&lt;=2,AM9&gt;1.6),"C",AM9=1.6,"D",TRUE,"NG")</f>
        <v>A</v>
      </c>
      <c r="AO9" s="4">
        <v>68</v>
      </c>
      <c r="AP9" s="5" cm="1">
        <f t="array" ref="AP9">_xlfn.IFS(AO9/75*100&gt;=90,4,AO9/75*100&gt;=80,3.6,AO9/75*100&gt;=70,3.2,AO9/75*100&gt;=60,2.8,AO9/75*100&gt;=50,2.4,AO9/75*100&gt;=40,2,AO9/75*100&gt;=35,1.6,TRUE, 0)</f>
        <v>4</v>
      </c>
      <c r="AQ9" s="5" t="str" cm="1">
        <f t="array" ref="AQ9">_xlfn.IFS(AP9=4,"A+",AP9=3.6,"A",AP9=3.2,"B+",AP9=2.8,"B",AP9=2.4,"C+",AP9=2,"C",AP9=1.6,"D",TRUE,"NG")</f>
        <v>A+</v>
      </c>
      <c r="AR9" s="5" cm="1">
        <f t="array" ref="AR9">_xlfn.IFS(AO9&gt;=70,25,AO9&gt;=60,24,AO9&gt;=50,23,AO9&gt;=40,22,AO9&gt;=30,21,TRUE,20)</f>
        <v>24</v>
      </c>
      <c r="AS9" s="5" cm="1">
        <f t="array" ref="AS9">_xlfn.IFS(AR9/25*100&gt;=90,4,AR9/25*100&gt;=80,3.6,AR9/25*100&gt;=70,3.2,AR9/25*100&gt;=60,2.8,AR9/25*100&gt;=50,2.4,AR9/25*100&gt;=40,2,AR9/25*100&gt;=35,1.6,TRUE, 0)</f>
        <v>4</v>
      </c>
      <c r="AT9" s="5" t="str" cm="1">
        <f t="array" ref="AT9">_xlfn.IFS(AS9=4,"A+",AS9=3.6,"A",AS9=3.2,"B+",AS9=2.8,"B",AS9=2.4,"C+",AS9=2,"C",AS9=1.6,"D",TRUE,"NG")</f>
        <v>A+</v>
      </c>
      <c r="AU9" s="5">
        <f t="shared" si="5"/>
        <v>4</v>
      </c>
      <c r="AV9" s="5" t="str" cm="1">
        <f t="array" ref="AV9">_xlfn.IFS(AND(AU9&lt;=4,AU9&gt;3.6),"A+",AND(AU9&lt;=3.6,AU9&gt;3.2),"A",AND(AU9&lt;=3.2,AU9&gt;2.8),"B+",AND(AU9&lt;=2.8,AU9&gt;2.4),"B",AND(AU9&lt;=2.4,AU9&gt;2),"C+",AND(AU9&lt;=2,AU9&gt;1.6),"C",AU9=1.6,"D",TRUE,"NG")</f>
        <v>A+</v>
      </c>
      <c r="AW9" s="4">
        <v>45</v>
      </c>
      <c r="AX9" s="5" cm="1">
        <f t="array" ref="AX9">_xlfn.IFS(AW9="-","-",AW9/75*100&gt;=90,4,AW9/75*100&gt;=80,3.6,AW9/75*100&gt;=70,3.2,AW9/75*100&gt;=60,2.8,AW9/75*100&gt;=50,2.4,AW9/75*100&gt;=40,2,AW9/75*100&gt;=35,1.6,TRUE, 0)</f>
        <v>2.8</v>
      </c>
      <c r="AY9" s="5" t="str" cm="1">
        <f t="array" ref="AY9">_xlfn.IFS(AX9="-","-",AX9=4,"A+",AX9=3.6,"A",AX9=3.2,"B+",AX9=2.8,"B",AX9=2.4,"C+",AX9=2,"C",AX9=1.6,"D",TRUE,"NG")</f>
        <v>B</v>
      </c>
      <c r="AZ9" s="4">
        <v>20</v>
      </c>
      <c r="BA9" s="5" cm="1">
        <f t="array" ref="BA9">_xlfn.IFS(AZ9="-","-",AZ9/25*100&gt;=90,4,AZ9/25*100&gt;=80,3.6,AZ9/25*100&gt;=70,3.2,AZ9/25*100&gt;=60,2.8,AZ9/25*100&gt;=50,2.4,AZ9/25*100&gt;=40,2,AZ9/25*100&gt;=35,1.6,TRUE, 0)</f>
        <v>3.6</v>
      </c>
      <c r="BB9" s="5" t="str" cm="1">
        <f t="array" ref="BB9">_xlfn.IFS(BA9="-","-",BA9=4,"A+",BA9=3.6,"A",BA9=3.2,"B+",BA9=2.8,"B",BA9=2.4,"C+",BA9=2,"C",BA9=1.6,"D",TRUE,"NG")</f>
        <v>A</v>
      </c>
      <c r="BC9" s="5">
        <f t="shared" si="6"/>
        <v>3</v>
      </c>
      <c r="BD9" s="5" t="str" cm="1">
        <f t="array" ref="BD9">_xlfn.IFS(BC9="-","-",AND(BC9&lt;=4,BC9&gt;3.6),"A+",AND(BC9&lt;=3.6,BC9&gt;3.2),"A",AND(BC9&lt;=3.2,BC9&gt;2.8),"B+",AND(BC9&lt;=2.8,BC9&gt;2.4),"B",AND(BC9&lt;=2.4,BC9&gt;2),"C+",AND(BC9&lt;=2,BC9&gt;1.6),"C",BC9=1.6,"D",TRUE,"NG")</f>
        <v>B+</v>
      </c>
      <c r="BE9" s="4" t="s">
        <v>63</v>
      </c>
      <c r="BF9" t="str" cm="1">
        <f t="array" ref="BF9">_xlfn.IFS(BE9="-","-",BE9/50*100&gt;=90,4,BE9/50*100&gt;=80,3.6,BE9/50*100&gt;=70,3.2,BE9/50*100&gt;=60,2.8,BE9/50*100&gt;=50,2.4,BE9/50*100&gt;=40,2,BE9/50*100&gt;=35,1.6,TRUE, 0)</f>
        <v>-</v>
      </c>
      <c r="BG9" t="str" cm="1">
        <f t="array" ref="BG9">_xlfn.IFS(BF9="-","-",BF9=4,"A+",BF9=3.6,"A",BF9=3.2,"B+",BF9=2.8,"B",BF9=2.4,"C+",BF9=2,"C",BF9=1.6,"D",TRUE,"NG")</f>
        <v>-</v>
      </c>
      <c r="BH9" s="4" t="s">
        <v>63</v>
      </c>
      <c r="BI9" t="str" cm="1">
        <f t="array" ref="BI9">_xlfn.IFS(BH9="-","-",BH9/50*100&gt;=90,4,BH9/50*100&gt;=80,3.6,BH9/50*100&gt;=70,3.2,BH9/50*100&gt;=60,2.8,BH9/50*100&gt;=50,2.4,BH9/50*100&gt;=40,2,BH9/50*100&gt;=35,1.6,TRUE, 0)</f>
        <v>-</v>
      </c>
      <c r="BJ9" t="str" cm="1">
        <f t="array" ref="BJ9">_xlfn.IFS(BI9="-","-",BI9=4,"A+",BI9=3.6,"A",BI9=3.2,"B+",BI9=2.8,"B",BI9=2.4,"C+",BI9=2,"C",BI9=1.6,"D",TRUE,"NG")</f>
        <v>-</v>
      </c>
      <c r="BK9" t="str">
        <f t="shared" si="7"/>
        <v>-</v>
      </c>
      <c r="BL9" t="str" cm="1">
        <f t="array" ref="BL9">_xlfn.IFS(BK9="-","-",AND(BK9&lt;=4,BK9&gt;3.6),"A+",AND(BK9&lt;=3.6,BK9&gt;3.2),"A",AND(BK9&lt;=3.2,BK9&gt;2.8),"B+",AND(BK9&lt;=2.8,BK9&gt;2.4),"B",AND(BK9&lt;=2.4,BK9&gt;2),"C+",AND(BK9&lt;=2,BK9&gt;1.6),"C",BK9=1.6,"D",TRUE,"NG")</f>
        <v>-</v>
      </c>
      <c r="BM9" s="9" cm="1">
        <f t="array" ref="BM9">_xlfn.IFS(AW9&lt;&gt;"-",((J9*3+M9*1)+(R9*2.25+U9*0.75)+(Z9*3.75+AC9*1.25)+(AH9*3.75+AK9*1.25)+(AP9*3.75+AS9*1.25)+(AX9*3.75+BA9*1.25))/(4+3+5*4),BE9&lt;&gt;"-",((J9*3+M9*1)+(R9*2.25+U9*0.75)+(Z9*3.75+AC9*1.25)+(AH9*3.75+AK9*1.25)+(AP9*3.75+AS9*1.25)+(BF9*2.5+BI9*2.5))/(4+3+5*4))</f>
        <v>3.3592592592592592</v>
      </c>
    </row>
    <row r="10" spans="1:65" x14ac:dyDescent="0.3">
      <c r="A10" s="2">
        <v>109</v>
      </c>
      <c r="B10" s="12">
        <v>793270280035</v>
      </c>
      <c r="C10" s="13">
        <v>12706886</v>
      </c>
      <c r="D10" s="14" t="s">
        <v>75</v>
      </c>
      <c r="E10" s="3" t="s">
        <v>64</v>
      </c>
      <c r="F10" s="15">
        <v>58514</v>
      </c>
      <c r="G10" s="3" t="str">
        <f t="shared" si="0"/>
        <v>2060/03/14</v>
      </c>
      <c r="H10" s="3" t="str" cm="1">
        <f t="array" ref="H10">[1]!bs2ad(G10)</f>
        <v>2003-6-28</v>
      </c>
      <c r="I10" s="4">
        <v>47</v>
      </c>
      <c r="J10" s="5" cm="1">
        <f t="array" ref="J10">_xlfn.IFS(I10/75*100&gt;=90,4,I10/75*100&gt;=80,3.6,I10/75*100&gt;=70,3.2,I10/75*100&gt;=60,2.8,I10/75*100&gt;=50,2.4,I10/75*100&gt;=40,2,I10/75*100&gt;=35,1.6,TRUE, 0)</f>
        <v>2.8</v>
      </c>
      <c r="K10" s="5" t="str" cm="1">
        <f t="array" ref="K10">_xlfn.IFS(J10=4,"A+",J10=3.6,"A",J10=3.2,"B+",J10=2.8,"B",J10=2.4,"C+",J10=2,"C",J10=1.6,"D",TRUE,"NG")</f>
        <v>B</v>
      </c>
      <c r="L10" s="4">
        <v>18</v>
      </c>
      <c r="M10" s="5" cm="1">
        <f t="array" ref="M10">_xlfn.IFS(L10/25*100&gt;=90,4,L10/25*100&gt;=80,3.6,L10/25*100&gt;=70,3.2,L10/25*100&gt;=60,2.8,L10/25*100&gt;=50,2.4,L10/25*100&gt;=40,2,L10/25*100&gt;=35,1.6,TRUE, 0)</f>
        <v>3.2</v>
      </c>
      <c r="N10" s="5" t="str" cm="1">
        <f t="array" ref="N10">_xlfn.IFS(M10=4,"A+",M10=3.6,"A",M10=3.2,"B+",M10=2.8,"B",M10=2.4,"C+",M10=2,"C",M10=1.6,"D",TRUE,"NG")</f>
        <v>B+</v>
      </c>
      <c r="O10" s="5">
        <f t="shared" si="1"/>
        <v>2.8999999999999995</v>
      </c>
      <c r="P10" s="5" t="str" cm="1">
        <f t="array" ref="P10">_xlfn.IFS(AND(O10&lt;=4,O10&gt;3.6),"A+",AND(O10&lt;=3.6,O10&gt;3.2),"A",AND(O10&lt;=3.2,O10&gt;2.8),"B+",AND(O10&lt;=2.8,O10&gt;2.4),"B",AND(O10&lt;=2.4,O10&gt;2),"C+",AND(O10&lt;=2,O10&gt;1.6),"C",O10=1.6,"D",TRUE,"NG")</f>
        <v>B+</v>
      </c>
      <c r="Q10" s="4">
        <v>31</v>
      </c>
      <c r="R10" s="5" cm="1">
        <f t="array" ref="R10">_xlfn.IFS(Q10/75*100&gt;=90,4,Q10/75*100&gt;=80,3.6,Q10/75*100&gt;=70,3.2,Q10/75*100&gt;=60,2.8,Q10/75*100&gt;=50,2.4,Q10/75*100&gt;=40,2,Q10/75*100&gt;=35,1.6,TRUE, 0)</f>
        <v>2</v>
      </c>
      <c r="S10" s="5" t="str" cm="1">
        <f t="array" ref="S10">_xlfn.IFS(R10=4,"A+",R10=3.6,"A",R10=3.2,"B+",R10=2.8,"B",R10=2.4,"C+",R10=2,"C",R10=1.6,"D",TRUE,"NG")</f>
        <v>C</v>
      </c>
      <c r="T10" s="5" cm="1">
        <f t="array" ref="T10">_xlfn.IFS(Q10&gt;=70,25,Q10&gt;=60,24,Q10&gt;=50,23,Q10&gt;=40,22,Q10&gt;=30,21,TRUE,20)</f>
        <v>21</v>
      </c>
      <c r="U10" s="5" cm="1">
        <f t="array" ref="U10">_xlfn.IFS(T10/25*100&gt;=90,4,T10/25*100&gt;=80,3.6,T10/25*100&gt;=70,3.2,T10/25*100&gt;=60,2.8,T10/25*100&gt;=50,2.4,T10/25*100&gt;=40,2,T10/25*100&gt;=35,1.6,TRUE, 0)</f>
        <v>3.6</v>
      </c>
      <c r="V10" s="5" t="str" cm="1">
        <f t="array" ref="V10">_xlfn.IFS(U10=4,"A+",U10=3.6,"A",U10=3.2,"B+",U10=2.8,"B",U10=2.4,"C+",U10=2,"C",U10=1.6,"D",TRUE,"NG")</f>
        <v>A</v>
      </c>
      <c r="W10" s="5">
        <f t="shared" si="2"/>
        <v>2.4</v>
      </c>
      <c r="X10" s="5" t="str" cm="1">
        <f t="array" ref="X10">_xlfn.IFS(AND(W10&lt;=4,W10&gt;3.6),"A+",AND(W10&lt;=3.6,W10&gt;3.2),"A",AND(W10&lt;=3.2,W10&gt;2.8),"B+",AND(W10&lt;=2.8,W10&gt;2.4),"B",AND(W10&lt;=2.4,W10&gt;2),"C+",AND(W10&lt;=2,W10&gt;1.6),"C",W10=1.6,"D",TRUE,"NG")</f>
        <v>C+</v>
      </c>
      <c r="Y10" s="4">
        <v>34</v>
      </c>
      <c r="Z10" s="5" cm="1">
        <f t="array" ref="Z10">_xlfn.IFS(Y10/75*100&gt;=90,4,Y10/75*100&gt;=80,3.6,Y10/75*100&gt;=70,3.2,Y10/75*100&gt;=60,2.8,Y10/75*100&gt;=50,2.4,Y10/75*100&gt;=40,2,Y10/75*100&gt;=35,1.6,TRUE, 0)</f>
        <v>2</v>
      </c>
      <c r="AA10" s="5" t="str" cm="1">
        <f t="array" ref="AA10">_xlfn.IFS(Z10=4,"A+",Z10=3.6,"A",Z10=3.2,"B+",Z10=2.8,"B",Z10=2.4,"C+",Z10=2,"C",Z10=1.6,"D",TRUE,"NG")</f>
        <v>C</v>
      </c>
      <c r="AB10" s="4">
        <v>23</v>
      </c>
      <c r="AC10" s="5" cm="1">
        <f t="array" ref="AC10">_xlfn.IFS(AB10/25*100&gt;=90,4,AB10/25*100&gt;=80,3.6,AB10/25*100&gt;=70,3.2,AB10/25*100&gt;=60,2.8,AB10/25*100&gt;=50,2.4,AB10/25*100&gt;=40,2,AB10/25*100&gt;=35,1.6,TRUE, 0)</f>
        <v>4</v>
      </c>
      <c r="AD10" s="5" t="str" cm="1">
        <f t="array" ref="AD10">_xlfn.IFS(AC10=4,"A+",AC10=3.6,"A",AC10=3.2,"B+",AC10=2.8,"B",AC10=2.4,"C+",AC10=2,"C",AC10=1.6,"D",TRUE,"NG")</f>
        <v>A+</v>
      </c>
      <c r="AE10" s="5">
        <f t="shared" si="3"/>
        <v>2.5</v>
      </c>
      <c r="AF10" s="5" t="str" cm="1">
        <f t="array" ref="AF10">_xlfn.IFS(AND(AE10&lt;=4,AE10&gt;3.6),"A+",AND(AE10&lt;=3.6,AE10&gt;3.2),"A",AND(AE10&lt;=3.2,AE10&gt;2.8),"B+",AND(AE10&lt;=2.8,AE10&gt;2.4),"B",AND(AE10&lt;=2.4,AE10&gt;2),"C+",AND(AE10&lt;=2,AE10&gt;1.6),"C",AE10=1.6,"D",TRUE,"NG")</f>
        <v>B</v>
      </c>
      <c r="AG10" s="4">
        <v>38</v>
      </c>
      <c r="AH10" s="5" cm="1">
        <f t="array" ref="AH10">_xlfn.IFS(AG10/75*100&gt;=90,4,AG10/75*100&gt;=80,3.6,AG10/75*100&gt;=70,3.2,AG10/75*100&gt;=60,2.8,AG10/75*100&gt;=50,2.4,AG10/75*100&gt;=40,2,AG10/75*100&gt;=35,1.6,TRUE, 0)</f>
        <v>2.4</v>
      </c>
      <c r="AI10" s="5" t="str" cm="1">
        <f t="array" ref="AI10">_xlfn.IFS(AH10=4,"A+",AH10=3.6,"A",AH10=3.2,"B+",AH10=2.8,"B",AH10=2.4,"C+",AH10=2,"C",AH10=1.6,"D",TRUE,"NG")</f>
        <v>C+</v>
      </c>
      <c r="AJ10" s="4">
        <v>18</v>
      </c>
      <c r="AK10" s="5" cm="1">
        <f t="array" ref="AK10">_xlfn.IFS(AJ10/25*100&gt;=90,4,AJ10/25*100&gt;=80,3.6,AJ10/25*100&gt;=70,3.2,AJ10/25*100&gt;=60,2.8,AJ10/25*100&gt;=50,2.4,AJ10/25*100&gt;=40,2,AJ10/25*100&gt;=35,1.6,TRUE, 0)</f>
        <v>3.2</v>
      </c>
      <c r="AL10" s="5" t="str" cm="1">
        <f t="array" ref="AL10">_xlfn.IFS(AK10=4,"A+",AK10=3.6,"A",AK10=3.2,"B+",AK10=2.8,"B",AK10=2.4,"C+",AK10=2,"C",AK10=1.6,"D",TRUE,"NG")</f>
        <v>B+</v>
      </c>
      <c r="AM10" s="5">
        <f t="shared" si="4"/>
        <v>2.6</v>
      </c>
      <c r="AN10" s="5" t="str" cm="1">
        <f t="array" ref="AN10">_xlfn.IFS(AND(AM10&lt;=4,AM10&gt;3.6),"A+",AND(AM10&lt;=3.6,AM10&gt;3.2),"A",AND(AM10&lt;=3.2,AM10&gt;2.8),"B+",AND(AM10&lt;=2.8,AM10&gt;2.4),"B",AND(AM10&lt;=2.4,AM10&gt;2),"C+",AND(AM10&lt;=2,AM10&gt;1.6),"C",AM10=1.6,"D",TRUE,"NG")</f>
        <v>B</v>
      </c>
      <c r="AO10" s="4">
        <v>40</v>
      </c>
      <c r="AP10" s="5" cm="1">
        <f t="array" ref="AP10">_xlfn.IFS(AO10/75*100&gt;=90,4,AO10/75*100&gt;=80,3.6,AO10/75*100&gt;=70,3.2,AO10/75*100&gt;=60,2.8,AO10/75*100&gt;=50,2.4,AO10/75*100&gt;=40,2,AO10/75*100&gt;=35,1.6,TRUE, 0)</f>
        <v>2.4</v>
      </c>
      <c r="AQ10" s="5" t="str" cm="1">
        <f t="array" ref="AQ10">_xlfn.IFS(AP10=4,"A+",AP10=3.6,"A",AP10=3.2,"B+",AP10=2.8,"B",AP10=2.4,"C+",AP10=2,"C",AP10=1.6,"D",TRUE,"NG")</f>
        <v>C+</v>
      </c>
      <c r="AR10" s="5" cm="1">
        <f t="array" ref="AR10">_xlfn.IFS(AO10&gt;=70,25,AO10&gt;=60,24,AO10&gt;=50,23,AO10&gt;=40,22,AO10&gt;=30,21,TRUE,20)</f>
        <v>22</v>
      </c>
      <c r="AS10" s="5" cm="1">
        <f t="array" ref="AS10">_xlfn.IFS(AR10/25*100&gt;=90,4,AR10/25*100&gt;=80,3.6,AR10/25*100&gt;=70,3.2,AR10/25*100&gt;=60,2.8,AR10/25*100&gt;=50,2.4,AR10/25*100&gt;=40,2,AR10/25*100&gt;=35,1.6,TRUE, 0)</f>
        <v>3.6</v>
      </c>
      <c r="AT10" s="5" t="str" cm="1">
        <f t="array" ref="AT10">_xlfn.IFS(AS10=4,"A+",AS10=3.6,"A",AS10=3.2,"B+",AS10=2.8,"B",AS10=2.4,"C+",AS10=2,"C",AS10=1.6,"D",TRUE,"NG")</f>
        <v>A</v>
      </c>
      <c r="AU10" s="5">
        <f t="shared" si="5"/>
        <v>2.7</v>
      </c>
      <c r="AV10" s="5" t="str" cm="1">
        <f t="array" ref="AV10">_xlfn.IFS(AND(AU10&lt;=4,AU10&gt;3.6),"A+",AND(AU10&lt;=3.6,AU10&gt;3.2),"A",AND(AU10&lt;=3.2,AU10&gt;2.8),"B+",AND(AU10&lt;=2.8,AU10&gt;2.4),"B",AND(AU10&lt;=2.4,AU10&gt;2),"C+",AND(AU10&lt;=2,AU10&gt;1.6),"C",AU10=1.6,"D",TRUE,"NG")</f>
        <v>B</v>
      </c>
      <c r="AW10" s="4">
        <v>33</v>
      </c>
      <c r="AX10" s="5" cm="1">
        <f t="array" ref="AX10">_xlfn.IFS(AW10="-","-",AW10/75*100&gt;=90,4,AW10/75*100&gt;=80,3.6,AW10/75*100&gt;=70,3.2,AW10/75*100&gt;=60,2.8,AW10/75*100&gt;=50,2.4,AW10/75*100&gt;=40,2,AW10/75*100&gt;=35,1.6,TRUE, 0)</f>
        <v>2</v>
      </c>
      <c r="AY10" s="5" t="str" cm="1">
        <f t="array" ref="AY10">_xlfn.IFS(AX10="-","-",AX10=4,"A+",AX10=3.6,"A",AX10=3.2,"B+",AX10=2.8,"B",AX10=2.4,"C+",AX10=2,"C",AX10=1.6,"D",TRUE,"NG")</f>
        <v>C</v>
      </c>
      <c r="AZ10" s="4">
        <v>18</v>
      </c>
      <c r="BA10" s="5" cm="1">
        <f t="array" ref="BA10">_xlfn.IFS(AZ10="-","-",AZ10/25*100&gt;=90,4,AZ10/25*100&gt;=80,3.6,AZ10/25*100&gt;=70,3.2,AZ10/25*100&gt;=60,2.8,AZ10/25*100&gt;=50,2.4,AZ10/25*100&gt;=40,2,AZ10/25*100&gt;=35,1.6,TRUE, 0)</f>
        <v>3.2</v>
      </c>
      <c r="BB10" s="5" t="str" cm="1">
        <f t="array" ref="BB10">_xlfn.IFS(BA10="-","-",BA10=4,"A+",BA10=3.6,"A",BA10=3.2,"B+",BA10=2.8,"B",BA10=2.4,"C+",BA10=2,"C",BA10=1.6,"D",TRUE,"NG")</f>
        <v>B+</v>
      </c>
      <c r="BC10" s="5">
        <f t="shared" si="6"/>
        <v>2.2999999999999998</v>
      </c>
      <c r="BD10" s="5" t="str" cm="1">
        <f t="array" ref="BD10">_xlfn.IFS(BC10="-","-",AND(BC10&lt;=4,BC10&gt;3.6),"A+",AND(BC10&lt;=3.6,BC10&gt;3.2),"A",AND(BC10&lt;=3.2,BC10&gt;2.8),"B+",AND(BC10&lt;=2.8,BC10&gt;2.4),"B",AND(BC10&lt;=2.4,BC10&gt;2),"C+",AND(BC10&lt;=2,BC10&gt;1.6),"C",BC10=1.6,"D",TRUE,"NG")</f>
        <v>C+</v>
      </c>
      <c r="BE10" s="4" t="s">
        <v>63</v>
      </c>
      <c r="BF10" t="str" cm="1">
        <f t="array" ref="BF10">_xlfn.IFS(BE10="-","-",BE10/50*100&gt;=90,4,BE10/50*100&gt;=80,3.6,BE10/50*100&gt;=70,3.2,BE10/50*100&gt;=60,2.8,BE10/50*100&gt;=50,2.4,BE10/50*100&gt;=40,2,BE10/50*100&gt;=35,1.6,TRUE, 0)</f>
        <v>-</v>
      </c>
      <c r="BG10" t="str" cm="1">
        <f t="array" ref="BG10">_xlfn.IFS(BF10="-","-",BF10=4,"A+",BF10=3.6,"A",BF10=3.2,"B+",BF10=2.8,"B",BF10=2.4,"C+",BF10=2,"C",BF10=1.6,"D",TRUE,"NG")</f>
        <v>-</v>
      </c>
      <c r="BH10" s="4" t="s">
        <v>63</v>
      </c>
      <c r="BI10" t="str" cm="1">
        <f t="array" ref="BI10">_xlfn.IFS(BH10="-","-",BH10/50*100&gt;=90,4,BH10/50*100&gt;=80,3.6,BH10/50*100&gt;=70,3.2,BH10/50*100&gt;=60,2.8,BH10/50*100&gt;=50,2.4,BH10/50*100&gt;=40,2,BH10/50*100&gt;=35,1.6,TRUE, 0)</f>
        <v>-</v>
      </c>
      <c r="BJ10" t="str" cm="1">
        <f t="array" ref="BJ10">_xlfn.IFS(BI10="-","-",BI10=4,"A+",BI10=3.6,"A",BI10=3.2,"B+",BI10=2.8,"B",BI10=2.4,"C+",BI10=2,"C",BI10=1.6,"D",TRUE,"NG")</f>
        <v>-</v>
      </c>
      <c r="BK10" t="str">
        <f t="shared" si="7"/>
        <v>-</v>
      </c>
      <c r="BL10" t="str" cm="1">
        <f t="array" ref="BL10">_xlfn.IFS(BK10="-","-",AND(BK10&lt;=4,BK10&gt;3.6),"A+",AND(BK10&lt;=3.6,BK10&gt;3.2),"A",AND(BK10&lt;=3.2,BK10&gt;2.8),"B+",AND(BK10&lt;=2.8,BK10&gt;2.4),"B",AND(BK10&lt;=2.4,BK10&gt;2),"C+",AND(BK10&lt;=2,BK10&gt;1.6),"C",BK10=1.6,"D",TRUE,"NG")</f>
        <v>-</v>
      </c>
      <c r="BM10" s="9" cm="1">
        <f t="array" ref="BM10">_xlfn.IFS(AW10&lt;&gt;"-",((J10*3+M10*1)+(R10*2.25+U10*0.75)+(Z10*3.75+AC10*1.25)+(AH10*3.75+AK10*1.25)+(AP10*3.75+AS10*1.25)+(AX10*3.75+BA10*1.25))/(4+3+5*4),BE10&lt;&gt;"-",((J10*3+M10*1)+(R10*2.25+U10*0.75)+(Z10*3.75+AC10*1.25)+(AH10*3.75+AK10*1.25)+(AP10*3.75+AS10*1.25)+(BF10*2.5+BI10*2.5))/(4+3+5*4))</f>
        <v>2.5666666666666664</v>
      </c>
    </row>
    <row r="11" spans="1:65" x14ac:dyDescent="0.3">
      <c r="A11" s="2">
        <v>110</v>
      </c>
      <c r="B11" s="12">
        <v>793270280019</v>
      </c>
      <c r="C11" s="13">
        <v>12706870</v>
      </c>
      <c r="D11" s="14" t="s">
        <v>76</v>
      </c>
      <c r="E11" s="3" t="s">
        <v>62</v>
      </c>
      <c r="F11" s="15">
        <v>58871</v>
      </c>
      <c r="G11" s="3" t="str">
        <f t="shared" si="0"/>
        <v>2061/03/06</v>
      </c>
      <c r="H11" s="3" t="str" cm="1">
        <f t="array" ref="H11">[1]!bs2ad(G11)</f>
        <v>2004-6-20</v>
      </c>
      <c r="I11" s="4">
        <v>55</v>
      </c>
      <c r="J11" s="5" cm="1">
        <f t="array" ref="J11">_xlfn.IFS(I11/75*100&gt;=90,4,I11/75*100&gt;=80,3.6,I11/75*100&gt;=70,3.2,I11/75*100&gt;=60,2.8,I11/75*100&gt;=50,2.4,I11/75*100&gt;=40,2,I11/75*100&gt;=35,1.6,TRUE, 0)</f>
        <v>3.2</v>
      </c>
      <c r="K11" s="5" t="str" cm="1">
        <f t="array" ref="K11">_xlfn.IFS(J11=4,"A+",J11=3.6,"A",J11=3.2,"B+",J11=2.8,"B",J11=2.4,"C+",J11=2,"C",J11=1.6,"D",TRUE,"NG")</f>
        <v>B+</v>
      </c>
      <c r="L11" s="4">
        <v>25</v>
      </c>
      <c r="M11" s="5" cm="1">
        <f t="array" ref="M11">_xlfn.IFS(L11/25*100&gt;=90,4,L11/25*100&gt;=80,3.6,L11/25*100&gt;=70,3.2,L11/25*100&gt;=60,2.8,L11/25*100&gt;=50,2.4,L11/25*100&gt;=40,2,L11/25*100&gt;=35,1.6,TRUE, 0)</f>
        <v>4</v>
      </c>
      <c r="N11" s="5" t="str" cm="1">
        <f t="array" ref="N11">_xlfn.IFS(M11=4,"A+",M11=3.6,"A",M11=3.2,"B+",M11=2.8,"B",M11=2.4,"C+",M11=2,"C",M11=1.6,"D",TRUE,"NG")</f>
        <v>A+</v>
      </c>
      <c r="O11" s="5">
        <f t="shared" si="1"/>
        <v>3.4000000000000004</v>
      </c>
      <c r="P11" s="5" t="str" cm="1">
        <f t="array" ref="P11">_xlfn.IFS(AND(O11&lt;=4,O11&gt;3.6),"A+",AND(O11&lt;=3.6,O11&gt;3.2),"A",AND(O11&lt;=3.2,O11&gt;2.8),"B+",AND(O11&lt;=2.8,O11&gt;2.4),"B",AND(O11&lt;=2.4,O11&gt;2),"C+",AND(O11&lt;=2,O11&gt;1.6),"C",O11=1.6,"D",TRUE,"NG")</f>
        <v>A</v>
      </c>
      <c r="Q11" s="4">
        <v>51</v>
      </c>
      <c r="R11" s="5" cm="1">
        <f t="array" ref="R11">_xlfn.IFS(Q11/75*100&gt;=90,4,Q11/75*100&gt;=80,3.6,Q11/75*100&gt;=70,3.2,Q11/75*100&gt;=60,2.8,Q11/75*100&gt;=50,2.4,Q11/75*100&gt;=40,2,Q11/75*100&gt;=35,1.6,TRUE, 0)</f>
        <v>2.8</v>
      </c>
      <c r="S11" s="5" t="str" cm="1">
        <f t="array" ref="S11">_xlfn.IFS(R11=4,"A+",R11=3.6,"A",R11=3.2,"B+",R11=2.8,"B",R11=2.4,"C+",R11=2,"C",R11=1.6,"D",TRUE,"NG")</f>
        <v>B</v>
      </c>
      <c r="T11" s="5" cm="1">
        <f t="array" ref="T11">_xlfn.IFS(Q11&gt;=70,25,Q11&gt;=60,24,Q11&gt;=50,23,Q11&gt;=40,22,Q11&gt;=30,21,TRUE,20)</f>
        <v>23</v>
      </c>
      <c r="U11" s="5" cm="1">
        <f t="array" ref="U11">_xlfn.IFS(T11/25*100&gt;=90,4,T11/25*100&gt;=80,3.6,T11/25*100&gt;=70,3.2,T11/25*100&gt;=60,2.8,T11/25*100&gt;=50,2.4,T11/25*100&gt;=40,2,T11/25*100&gt;=35,1.6,TRUE, 0)</f>
        <v>4</v>
      </c>
      <c r="V11" s="5" t="str" cm="1">
        <f t="array" ref="V11">_xlfn.IFS(U11=4,"A+",U11=3.6,"A",U11=3.2,"B+",U11=2.8,"B",U11=2.4,"C+",U11=2,"C",U11=1.6,"D",TRUE,"NG")</f>
        <v>A+</v>
      </c>
      <c r="W11" s="5">
        <f t="shared" si="2"/>
        <v>3.1</v>
      </c>
      <c r="X11" s="5" t="str" cm="1">
        <f t="array" ref="X11">_xlfn.IFS(AND(W11&lt;=4,W11&gt;3.6),"A+",AND(W11&lt;=3.6,W11&gt;3.2),"A",AND(W11&lt;=3.2,W11&gt;2.8),"B+",AND(W11&lt;=2.8,W11&gt;2.4),"B",AND(W11&lt;=2.4,W11&gt;2),"C+",AND(W11&lt;=2,W11&gt;1.6),"C",W11=1.6,"D",TRUE,"NG")</f>
        <v>B+</v>
      </c>
      <c r="Y11" s="4">
        <v>58</v>
      </c>
      <c r="Z11" s="5" cm="1">
        <f t="array" ref="Z11">_xlfn.IFS(Y11/75*100&gt;=90,4,Y11/75*100&gt;=80,3.6,Y11/75*100&gt;=70,3.2,Y11/75*100&gt;=60,2.8,Y11/75*100&gt;=50,2.4,Y11/75*100&gt;=40,2,Y11/75*100&gt;=35,1.6,TRUE, 0)</f>
        <v>3.2</v>
      </c>
      <c r="AA11" s="5" t="str" cm="1">
        <f t="array" ref="AA11">_xlfn.IFS(Z11=4,"A+",Z11=3.6,"A",Z11=3.2,"B+",Z11=2.8,"B",Z11=2.4,"C+",Z11=2,"C",Z11=1.6,"D",TRUE,"NG")</f>
        <v>B+</v>
      </c>
      <c r="AB11" s="4">
        <v>23</v>
      </c>
      <c r="AC11" s="5" cm="1">
        <f t="array" ref="AC11">_xlfn.IFS(AB11/25*100&gt;=90,4,AB11/25*100&gt;=80,3.6,AB11/25*100&gt;=70,3.2,AB11/25*100&gt;=60,2.8,AB11/25*100&gt;=50,2.4,AB11/25*100&gt;=40,2,AB11/25*100&gt;=35,1.6,TRUE, 0)</f>
        <v>4</v>
      </c>
      <c r="AD11" s="5" t="str" cm="1">
        <f t="array" ref="AD11">_xlfn.IFS(AC11=4,"A+",AC11=3.6,"A",AC11=3.2,"B+",AC11=2.8,"B",AC11=2.4,"C+",AC11=2,"C",AC11=1.6,"D",TRUE,"NG")</f>
        <v>A+</v>
      </c>
      <c r="AE11" s="5">
        <f t="shared" si="3"/>
        <v>3.4</v>
      </c>
      <c r="AF11" s="5" t="str" cm="1">
        <f t="array" ref="AF11">_xlfn.IFS(AND(AE11&lt;=4,AE11&gt;3.6),"A+",AND(AE11&lt;=3.6,AE11&gt;3.2),"A",AND(AE11&lt;=3.2,AE11&gt;2.8),"B+",AND(AE11&lt;=2.8,AE11&gt;2.4),"B",AND(AE11&lt;=2.4,AE11&gt;2),"C+",AND(AE11&lt;=2,AE11&gt;1.6),"C",AE11=1.6,"D",TRUE,"NG")</f>
        <v>A</v>
      </c>
      <c r="AG11" s="4">
        <v>62</v>
      </c>
      <c r="AH11" s="5" cm="1">
        <f t="array" ref="AH11">_xlfn.IFS(AG11/75*100&gt;=90,4,AG11/75*100&gt;=80,3.6,AG11/75*100&gt;=70,3.2,AG11/75*100&gt;=60,2.8,AG11/75*100&gt;=50,2.4,AG11/75*100&gt;=40,2,AG11/75*100&gt;=35,1.6,TRUE, 0)</f>
        <v>3.6</v>
      </c>
      <c r="AI11" s="5" t="str" cm="1">
        <f t="array" ref="AI11">_xlfn.IFS(AH11=4,"A+",AH11=3.6,"A",AH11=3.2,"B+",AH11=2.8,"B",AH11=2.4,"C+",AH11=2,"C",AH11=1.6,"D",TRUE,"NG")</f>
        <v>A</v>
      </c>
      <c r="AJ11" s="4">
        <v>24</v>
      </c>
      <c r="AK11" s="5" cm="1">
        <f t="array" ref="AK11">_xlfn.IFS(AJ11/25*100&gt;=90,4,AJ11/25*100&gt;=80,3.6,AJ11/25*100&gt;=70,3.2,AJ11/25*100&gt;=60,2.8,AJ11/25*100&gt;=50,2.4,AJ11/25*100&gt;=40,2,AJ11/25*100&gt;=35,1.6,TRUE, 0)</f>
        <v>4</v>
      </c>
      <c r="AL11" s="5" t="str" cm="1">
        <f t="array" ref="AL11">_xlfn.IFS(AK11=4,"A+",AK11=3.6,"A",AK11=3.2,"B+",AK11=2.8,"B",AK11=2.4,"C+",AK11=2,"C",AK11=1.6,"D",TRUE,"NG")</f>
        <v>A+</v>
      </c>
      <c r="AM11" s="5">
        <f t="shared" si="4"/>
        <v>3.7</v>
      </c>
      <c r="AN11" s="5" t="str" cm="1">
        <f t="array" ref="AN11">_xlfn.IFS(AND(AM11&lt;=4,AM11&gt;3.6),"A+",AND(AM11&lt;=3.6,AM11&gt;3.2),"A",AND(AM11&lt;=3.2,AM11&gt;2.8),"B+",AND(AM11&lt;=2.8,AM11&gt;2.4),"B",AND(AM11&lt;=2.4,AM11&gt;2),"C+",AND(AM11&lt;=2,AM11&gt;1.6),"C",AM11=1.6,"D",TRUE,"NG")</f>
        <v>A+</v>
      </c>
      <c r="AO11" s="4">
        <v>61</v>
      </c>
      <c r="AP11" s="5" cm="1">
        <f t="array" ref="AP11">_xlfn.IFS(AO11/75*100&gt;=90,4,AO11/75*100&gt;=80,3.6,AO11/75*100&gt;=70,3.2,AO11/75*100&gt;=60,2.8,AO11/75*100&gt;=50,2.4,AO11/75*100&gt;=40,2,AO11/75*100&gt;=35,1.6,TRUE, 0)</f>
        <v>3.6</v>
      </c>
      <c r="AQ11" s="5" t="str" cm="1">
        <f t="array" ref="AQ11">_xlfn.IFS(AP11=4,"A+",AP11=3.6,"A",AP11=3.2,"B+",AP11=2.8,"B",AP11=2.4,"C+",AP11=2,"C",AP11=1.6,"D",TRUE,"NG")</f>
        <v>A</v>
      </c>
      <c r="AR11" s="5" cm="1">
        <f t="array" ref="AR11">_xlfn.IFS(AO11&gt;=70,25,AO11&gt;=60,24,AO11&gt;=50,23,AO11&gt;=40,22,AO11&gt;=30,21,TRUE,20)</f>
        <v>24</v>
      </c>
      <c r="AS11" s="5" cm="1">
        <f t="array" ref="AS11">_xlfn.IFS(AR11/25*100&gt;=90,4,AR11/25*100&gt;=80,3.6,AR11/25*100&gt;=70,3.2,AR11/25*100&gt;=60,2.8,AR11/25*100&gt;=50,2.4,AR11/25*100&gt;=40,2,AR11/25*100&gt;=35,1.6,TRUE, 0)</f>
        <v>4</v>
      </c>
      <c r="AT11" s="5" t="str" cm="1">
        <f t="array" ref="AT11">_xlfn.IFS(AS11=4,"A+",AS11=3.6,"A",AS11=3.2,"B+",AS11=2.8,"B",AS11=2.4,"C+",AS11=2,"C",AS11=1.6,"D",TRUE,"NG")</f>
        <v>A+</v>
      </c>
      <c r="AU11" s="5">
        <f t="shared" si="5"/>
        <v>3.7</v>
      </c>
      <c r="AV11" s="5" t="str" cm="1">
        <f t="array" ref="AV11">_xlfn.IFS(AND(AU11&lt;=4,AU11&gt;3.6),"A+",AND(AU11&lt;=3.6,AU11&gt;3.2),"A",AND(AU11&lt;=3.2,AU11&gt;2.8),"B+",AND(AU11&lt;=2.8,AU11&gt;2.4),"B",AND(AU11&lt;=2.4,AU11&gt;2),"C+",AND(AU11&lt;=2,AU11&gt;1.6),"C",AU11=1.6,"D",TRUE,"NG")</f>
        <v>A+</v>
      </c>
      <c r="AW11" s="4" t="s">
        <v>63</v>
      </c>
      <c r="AX11" s="5" t="str" cm="1">
        <f t="array" ref="AX11">_xlfn.IFS(AW11="-","-",AW11/75*100&gt;=90,4,AW11/75*100&gt;=80,3.6,AW11/75*100&gt;=70,3.2,AW11/75*100&gt;=60,2.8,AW11/75*100&gt;=50,2.4,AW11/75*100&gt;=40,2,AW11/75*100&gt;=35,1.6,TRUE, 0)</f>
        <v>-</v>
      </c>
      <c r="AY11" s="5" t="str" cm="1">
        <f t="array" ref="AY11">_xlfn.IFS(AX11="-","-",AX11=4,"A+",AX11=3.6,"A",AX11=3.2,"B+",AX11=2.8,"B",AX11=2.4,"C+",AX11=2,"C",AX11=1.6,"D",TRUE,"NG")</f>
        <v>-</v>
      </c>
      <c r="AZ11" s="4" t="s">
        <v>63</v>
      </c>
      <c r="BA11" s="5" t="str" cm="1">
        <f t="array" ref="BA11">_xlfn.IFS(AZ11="-","-",AZ11/25*100&gt;=90,4,AZ11/25*100&gt;=80,3.6,AZ11/25*100&gt;=70,3.2,AZ11/25*100&gt;=60,2.8,AZ11/25*100&gt;=50,2.4,AZ11/25*100&gt;=40,2,AZ11/25*100&gt;=35,1.6,TRUE, 0)</f>
        <v>-</v>
      </c>
      <c r="BB11" s="5" t="str" cm="1">
        <f t="array" ref="BB11">_xlfn.IFS(BA11="-","-",BA11=4,"A+",BA11=3.6,"A",BA11=3.2,"B+",BA11=2.8,"B",BA11=2.4,"C+",BA11=2,"C",BA11=1.6,"D",TRUE,"NG")</f>
        <v>-</v>
      </c>
      <c r="BC11" s="5" t="str">
        <f t="shared" si="6"/>
        <v>-</v>
      </c>
      <c r="BD11" s="5" t="str" cm="1">
        <f t="array" ref="BD11">_xlfn.IFS(BC11="-","-",AND(BC11&lt;=4,BC11&gt;3.6),"A+",AND(BC11&lt;=3.6,BC11&gt;3.2),"A",AND(BC11&lt;=3.2,BC11&gt;2.8),"B+",AND(BC11&lt;=2.8,BC11&gt;2.4),"B",AND(BC11&lt;=2.4,BC11&gt;2),"C+",AND(BC11&lt;=2,BC11&gt;1.6),"C",BC11=1.6,"D",TRUE,"NG")</f>
        <v>-</v>
      </c>
      <c r="BE11" s="4">
        <v>42</v>
      </c>
      <c r="BF11" cm="1">
        <f t="array" ref="BF11">_xlfn.IFS(BE11="-","-",BE11/50*100&gt;=90,4,BE11/50*100&gt;=80,3.6,BE11/50*100&gt;=70,3.2,BE11/50*100&gt;=60,2.8,BE11/50*100&gt;=50,2.4,BE11/50*100&gt;=40,2,BE11/50*100&gt;=35,1.6,TRUE, 0)</f>
        <v>3.6</v>
      </c>
      <c r="BG11" t="str" cm="1">
        <f t="array" ref="BG11">_xlfn.IFS(BF11="-","-",BF11=4,"A+",BF11=3.6,"A",BF11=3.2,"B+",BF11=2.8,"B",BF11=2.4,"C+",BF11=2,"C",BF11=1.6,"D",TRUE,"NG")</f>
        <v>A</v>
      </c>
      <c r="BH11" s="4">
        <v>43</v>
      </c>
      <c r="BI11" cm="1">
        <f t="array" ref="BI11">_xlfn.IFS(BH11="-","-",BH11/50*100&gt;=90,4,BH11/50*100&gt;=80,3.6,BH11/50*100&gt;=70,3.2,BH11/50*100&gt;=60,2.8,BH11/50*100&gt;=50,2.4,BH11/50*100&gt;=40,2,BH11/50*100&gt;=35,1.6,TRUE, 0)</f>
        <v>3.6</v>
      </c>
      <c r="BJ11" t="str" cm="1">
        <f t="array" ref="BJ11">_xlfn.IFS(BI11="-","-",BI11=4,"A+",BI11=3.6,"A",BI11=3.2,"B+",BI11=2.8,"B",BI11=2.4,"C+",BI11=2,"C",BI11=1.6,"D",TRUE,"NG")</f>
        <v>A</v>
      </c>
      <c r="BK11">
        <f t="shared" si="7"/>
        <v>3.6</v>
      </c>
      <c r="BL11" t="str" cm="1">
        <f t="array" ref="BL11">_xlfn.IFS(BK11="-","-",AND(BK11&lt;=4,BK11&gt;3.6),"A+",AND(BK11&lt;=3.6,BK11&gt;3.2),"A",AND(BK11&lt;=3.2,BK11&gt;2.8),"B+",AND(BK11&lt;=2.8,BK11&gt;2.4),"B",AND(BK11&lt;=2.4,BK11&gt;2),"C+",AND(BK11&lt;=2,BK11&gt;1.6),"C",BK11=1.6,"D",TRUE,"NG")</f>
        <v>A</v>
      </c>
      <c r="BM11" s="9" cm="1">
        <f t="array" ref="BM11">_xlfn.IFS(AW11&lt;&gt;"-",((J11*3+M11*1)+(R11*2.25+U11*0.75)+(Z11*3.75+AC11*1.25)+(AH11*3.75+AK11*1.25)+(AP11*3.75+AS11*1.25)+(AX11*3.75+BA11*1.25))/(4+3+5*4),BE11&lt;&gt;"-",((J11*3+M11*1)+(R11*2.25+U11*0.75)+(Z11*3.75+AC11*1.25)+(AH11*3.75+AK11*1.25)+(AP11*3.75+AS11*1.25)+(BF11*2.5+BI11*2.5))/(4+3+5*4))</f>
        <v>3.5148148148148151</v>
      </c>
    </row>
    <row r="12" spans="1:65" x14ac:dyDescent="0.3">
      <c r="A12" s="2">
        <v>111</v>
      </c>
      <c r="B12" s="12">
        <v>793270280042</v>
      </c>
      <c r="C12" s="13">
        <v>12706893</v>
      </c>
      <c r="D12" s="14" t="s">
        <v>77</v>
      </c>
      <c r="E12" s="3" t="s">
        <v>64</v>
      </c>
      <c r="F12" s="15">
        <v>59489</v>
      </c>
      <c r="G12" s="3" t="str">
        <f t="shared" si="0"/>
        <v>2062/11/14</v>
      </c>
      <c r="H12" s="3" t="str" cm="1">
        <f t="array" ref="H12">[1]!bs2ad(G12)</f>
        <v>2006-2-26</v>
      </c>
      <c r="I12" s="4">
        <v>54</v>
      </c>
      <c r="J12" s="5" cm="1">
        <f t="array" ref="J12">_xlfn.IFS(I12/75*100&gt;=90,4,I12/75*100&gt;=80,3.6,I12/75*100&gt;=70,3.2,I12/75*100&gt;=60,2.8,I12/75*100&gt;=50,2.4,I12/75*100&gt;=40,2,I12/75*100&gt;=35,1.6,TRUE, 0)</f>
        <v>3.2</v>
      </c>
      <c r="K12" s="5" t="str" cm="1">
        <f t="array" ref="K12">_xlfn.IFS(J12=4,"A+",J12=3.6,"A",J12=3.2,"B+",J12=2.8,"B",J12=2.4,"C+",J12=2,"C",J12=1.6,"D",TRUE,"NG")</f>
        <v>B+</v>
      </c>
      <c r="L12" s="4">
        <v>20</v>
      </c>
      <c r="M12" s="5" cm="1">
        <f t="array" ref="M12">_xlfn.IFS(L12/25*100&gt;=90,4,L12/25*100&gt;=80,3.6,L12/25*100&gt;=70,3.2,L12/25*100&gt;=60,2.8,L12/25*100&gt;=50,2.4,L12/25*100&gt;=40,2,L12/25*100&gt;=35,1.6,TRUE, 0)</f>
        <v>3.6</v>
      </c>
      <c r="N12" s="5" t="str" cm="1">
        <f t="array" ref="N12">_xlfn.IFS(M12=4,"A+",M12=3.6,"A",M12=3.2,"B+",M12=2.8,"B",M12=2.4,"C+",M12=2,"C",M12=1.6,"D",TRUE,"NG")</f>
        <v>A</v>
      </c>
      <c r="O12" s="5">
        <f t="shared" si="1"/>
        <v>3.3000000000000003</v>
      </c>
      <c r="P12" s="5" t="str" cm="1">
        <f t="array" ref="P12">_xlfn.IFS(AND(O12&lt;=4,O12&gt;3.6),"A+",AND(O12&lt;=3.6,O12&gt;3.2),"A",AND(O12&lt;=3.2,O12&gt;2.8),"B+",AND(O12&lt;=2.8,O12&gt;2.4),"B",AND(O12&lt;=2.4,O12&gt;2),"C+",AND(O12&lt;=2,O12&gt;1.6),"C",O12=1.6,"D",TRUE,"NG")</f>
        <v>A</v>
      </c>
      <c r="Q12" s="4">
        <v>37</v>
      </c>
      <c r="R12" s="5" cm="1">
        <f t="array" ref="R12">_xlfn.IFS(Q12/75*100&gt;=90,4,Q12/75*100&gt;=80,3.6,Q12/75*100&gt;=70,3.2,Q12/75*100&gt;=60,2.8,Q12/75*100&gt;=50,2.4,Q12/75*100&gt;=40,2,Q12/75*100&gt;=35,1.6,TRUE, 0)</f>
        <v>2</v>
      </c>
      <c r="S12" s="5" t="str" cm="1">
        <f t="array" ref="S12">_xlfn.IFS(R12=4,"A+",R12=3.6,"A",R12=3.2,"B+",R12=2.8,"B",R12=2.4,"C+",R12=2,"C",R12=1.6,"D",TRUE,"NG")</f>
        <v>C</v>
      </c>
      <c r="T12" s="5" cm="1">
        <f t="array" ref="T12">_xlfn.IFS(Q12&gt;=70,25,Q12&gt;=60,24,Q12&gt;=50,23,Q12&gt;=40,22,Q12&gt;=30,21,TRUE,20)</f>
        <v>21</v>
      </c>
      <c r="U12" s="5" cm="1">
        <f t="array" ref="U12">_xlfn.IFS(T12/25*100&gt;=90,4,T12/25*100&gt;=80,3.6,T12/25*100&gt;=70,3.2,T12/25*100&gt;=60,2.8,T12/25*100&gt;=50,2.4,T12/25*100&gt;=40,2,T12/25*100&gt;=35,1.6,TRUE, 0)</f>
        <v>3.6</v>
      </c>
      <c r="V12" s="5" t="str" cm="1">
        <f t="array" ref="V12">_xlfn.IFS(U12=4,"A+",U12=3.6,"A",U12=3.2,"B+",U12=2.8,"B",U12=2.4,"C+",U12=2,"C",U12=1.6,"D",TRUE,"NG")</f>
        <v>A</v>
      </c>
      <c r="W12" s="5">
        <f t="shared" si="2"/>
        <v>2.4</v>
      </c>
      <c r="X12" s="5" t="str" cm="1">
        <f t="array" ref="X12">_xlfn.IFS(AND(W12&lt;=4,W12&gt;3.6),"A+",AND(W12&lt;=3.6,W12&gt;3.2),"A",AND(W12&lt;=3.2,W12&gt;2.8),"B+",AND(W12&lt;=2.8,W12&gt;2.4),"B",AND(W12&lt;=2.4,W12&gt;2),"C+",AND(W12&lt;=2,W12&gt;1.6),"C",W12=1.6,"D",TRUE,"NG")</f>
        <v>C+</v>
      </c>
      <c r="Y12" s="4">
        <v>53</v>
      </c>
      <c r="Z12" s="5" cm="1">
        <f t="array" ref="Z12">_xlfn.IFS(Y12/75*100&gt;=90,4,Y12/75*100&gt;=80,3.6,Y12/75*100&gt;=70,3.2,Y12/75*100&gt;=60,2.8,Y12/75*100&gt;=50,2.4,Y12/75*100&gt;=40,2,Y12/75*100&gt;=35,1.6,TRUE, 0)</f>
        <v>3.2</v>
      </c>
      <c r="AA12" s="5" t="str" cm="1">
        <f t="array" ref="AA12">_xlfn.IFS(Z12=4,"A+",Z12=3.6,"A",Z12=3.2,"B+",Z12=2.8,"B",Z12=2.4,"C+",Z12=2,"C",Z12=1.6,"D",TRUE,"NG")</f>
        <v>B+</v>
      </c>
      <c r="AB12" s="4">
        <v>23</v>
      </c>
      <c r="AC12" s="5" cm="1">
        <f t="array" ref="AC12">_xlfn.IFS(AB12/25*100&gt;=90,4,AB12/25*100&gt;=80,3.6,AB12/25*100&gt;=70,3.2,AB12/25*100&gt;=60,2.8,AB12/25*100&gt;=50,2.4,AB12/25*100&gt;=40,2,AB12/25*100&gt;=35,1.6,TRUE, 0)</f>
        <v>4</v>
      </c>
      <c r="AD12" s="5" t="str" cm="1">
        <f t="array" ref="AD12">_xlfn.IFS(AC12=4,"A+",AC12=3.6,"A",AC12=3.2,"B+",AC12=2.8,"B",AC12=2.4,"C+",AC12=2,"C",AC12=1.6,"D",TRUE,"NG")</f>
        <v>A+</v>
      </c>
      <c r="AE12" s="5">
        <f t="shared" si="3"/>
        <v>3.4</v>
      </c>
      <c r="AF12" s="5" t="str" cm="1">
        <f t="array" ref="AF12">_xlfn.IFS(AND(AE12&lt;=4,AE12&gt;3.6),"A+",AND(AE12&lt;=3.6,AE12&gt;3.2),"A",AND(AE12&lt;=3.2,AE12&gt;2.8),"B+",AND(AE12&lt;=2.8,AE12&gt;2.4),"B",AND(AE12&lt;=2.4,AE12&gt;2),"C+",AND(AE12&lt;=2,AE12&gt;1.6),"C",AE12=1.6,"D",TRUE,"NG")</f>
        <v>A</v>
      </c>
      <c r="AG12" s="4">
        <v>30</v>
      </c>
      <c r="AH12" s="5" cm="1">
        <f t="array" ref="AH12">_xlfn.IFS(AG12/75*100&gt;=90,4,AG12/75*100&gt;=80,3.6,AG12/75*100&gt;=70,3.2,AG12/75*100&gt;=60,2.8,AG12/75*100&gt;=50,2.4,AG12/75*100&gt;=40,2,AG12/75*100&gt;=35,1.6,TRUE, 0)</f>
        <v>2</v>
      </c>
      <c r="AI12" s="5" t="str" cm="1">
        <f t="array" ref="AI12">_xlfn.IFS(AH12=4,"A+",AH12=3.6,"A",AH12=3.2,"B+",AH12=2.8,"B",AH12=2.4,"C+",AH12=2,"C",AH12=1.6,"D",TRUE,"NG")</f>
        <v>C</v>
      </c>
      <c r="AJ12" s="4">
        <v>22</v>
      </c>
      <c r="AK12" s="5" cm="1">
        <f t="array" ref="AK12">_xlfn.IFS(AJ12/25*100&gt;=90,4,AJ12/25*100&gt;=80,3.6,AJ12/25*100&gt;=70,3.2,AJ12/25*100&gt;=60,2.8,AJ12/25*100&gt;=50,2.4,AJ12/25*100&gt;=40,2,AJ12/25*100&gt;=35,1.6,TRUE, 0)</f>
        <v>3.6</v>
      </c>
      <c r="AL12" s="5" t="str" cm="1">
        <f t="array" ref="AL12">_xlfn.IFS(AK12=4,"A+",AK12=3.6,"A",AK12=3.2,"B+",AK12=2.8,"B",AK12=2.4,"C+",AK12=2,"C",AK12=1.6,"D",TRUE,"NG")</f>
        <v>A</v>
      </c>
      <c r="AM12" s="5">
        <f t="shared" si="4"/>
        <v>2.4</v>
      </c>
      <c r="AN12" s="5" t="str" cm="1">
        <f t="array" ref="AN12">_xlfn.IFS(AND(AM12&lt;=4,AM12&gt;3.6),"A+",AND(AM12&lt;=3.6,AM12&gt;3.2),"A",AND(AM12&lt;=3.2,AM12&gt;2.8),"B+",AND(AM12&lt;=2.8,AM12&gt;2.4),"B",AND(AM12&lt;=2.4,AM12&gt;2),"C+",AND(AM12&lt;=2,AM12&gt;1.6),"C",AM12=1.6,"D",TRUE,"NG")</f>
        <v>C+</v>
      </c>
      <c r="AO12" s="4">
        <v>51</v>
      </c>
      <c r="AP12" s="5" cm="1">
        <f t="array" ref="AP12">_xlfn.IFS(AO12/75*100&gt;=90,4,AO12/75*100&gt;=80,3.6,AO12/75*100&gt;=70,3.2,AO12/75*100&gt;=60,2.8,AO12/75*100&gt;=50,2.4,AO12/75*100&gt;=40,2,AO12/75*100&gt;=35,1.6,TRUE, 0)</f>
        <v>2.8</v>
      </c>
      <c r="AQ12" s="5" t="str" cm="1">
        <f t="array" ref="AQ12">_xlfn.IFS(AP12=4,"A+",AP12=3.6,"A",AP12=3.2,"B+",AP12=2.8,"B",AP12=2.4,"C+",AP12=2,"C",AP12=1.6,"D",TRUE,"NG")</f>
        <v>B</v>
      </c>
      <c r="AR12" s="5" cm="1">
        <f t="array" ref="AR12">_xlfn.IFS(AO12&gt;=70,25,AO12&gt;=60,24,AO12&gt;=50,23,AO12&gt;=40,22,AO12&gt;=30,21,TRUE,20)</f>
        <v>23</v>
      </c>
      <c r="AS12" s="5" cm="1">
        <f t="array" ref="AS12">_xlfn.IFS(AR12/25*100&gt;=90,4,AR12/25*100&gt;=80,3.6,AR12/25*100&gt;=70,3.2,AR12/25*100&gt;=60,2.8,AR12/25*100&gt;=50,2.4,AR12/25*100&gt;=40,2,AR12/25*100&gt;=35,1.6,TRUE, 0)</f>
        <v>4</v>
      </c>
      <c r="AT12" s="5" t="str" cm="1">
        <f t="array" ref="AT12">_xlfn.IFS(AS12=4,"A+",AS12=3.6,"A",AS12=3.2,"B+",AS12=2.8,"B",AS12=2.4,"C+",AS12=2,"C",AS12=1.6,"D",TRUE,"NG")</f>
        <v>A+</v>
      </c>
      <c r="AU12" s="5">
        <f t="shared" si="5"/>
        <v>3.1</v>
      </c>
      <c r="AV12" s="5" t="str" cm="1">
        <f t="array" ref="AV12">_xlfn.IFS(AND(AU12&lt;=4,AU12&gt;3.6),"A+",AND(AU12&lt;=3.6,AU12&gt;3.2),"A",AND(AU12&lt;=3.2,AU12&gt;2.8),"B+",AND(AU12&lt;=2.8,AU12&gt;2.4),"B",AND(AU12&lt;=2.4,AU12&gt;2),"C+",AND(AU12&lt;=2,AU12&gt;1.6),"C",AU12=1.6,"D",TRUE,"NG")</f>
        <v>B+</v>
      </c>
      <c r="AW12" s="4">
        <v>31</v>
      </c>
      <c r="AX12" s="5" cm="1">
        <f t="array" ref="AX12">_xlfn.IFS(AW12="-","-",AW12/75*100&gt;=90,4,AW12/75*100&gt;=80,3.6,AW12/75*100&gt;=70,3.2,AW12/75*100&gt;=60,2.8,AW12/75*100&gt;=50,2.4,AW12/75*100&gt;=40,2,AW12/75*100&gt;=35,1.6,TRUE, 0)</f>
        <v>2</v>
      </c>
      <c r="AY12" s="5" t="str" cm="1">
        <f t="array" ref="AY12">_xlfn.IFS(AX12="-","-",AX12=4,"A+",AX12=3.6,"A",AX12=3.2,"B+",AX12=2.8,"B",AX12=2.4,"C+",AX12=2,"C",AX12=1.6,"D",TRUE,"NG")</f>
        <v>C</v>
      </c>
      <c r="AZ12" s="4">
        <v>20</v>
      </c>
      <c r="BA12" s="5" cm="1">
        <f t="array" ref="BA12">_xlfn.IFS(AZ12="-","-",AZ12/25*100&gt;=90,4,AZ12/25*100&gt;=80,3.6,AZ12/25*100&gt;=70,3.2,AZ12/25*100&gt;=60,2.8,AZ12/25*100&gt;=50,2.4,AZ12/25*100&gt;=40,2,AZ12/25*100&gt;=35,1.6,TRUE, 0)</f>
        <v>3.6</v>
      </c>
      <c r="BB12" s="5" t="str" cm="1">
        <f t="array" ref="BB12">_xlfn.IFS(BA12="-","-",BA12=4,"A+",BA12=3.6,"A",BA12=3.2,"B+",BA12=2.8,"B",BA12=2.4,"C+",BA12=2,"C",BA12=1.6,"D",TRUE,"NG")</f>
        <v>A</v>
      </c>
      <c r="BC12" s="5">
        <f t="shared" si="6"/>
        <v>2.4</v>
      </c>
      <c r="BD12" s="5" t="str" cm="1">
        <f t="array" ref="BD12">_xlfn.IFS(BC12="-","-",AND(BC12&lt;=4,BC12&gt;3.6),"A+",AND(BC12&lt;=3.6,BC12&gt;3.2),"A",AND(BC12&lt;=3.2,BC12&gt;2.8),"B+",AND(BC12&lt;=2.8,BC12&gt;2.4),"B",AND(BC12&lt;=2.4,BC12&gt;2),"C+",AND(BC12&lt;=2,BC12&gt;1.6),"C",BC12=1.6,"D",TRUE,"NG")</f>
        <v>C+</v>
      </c>
      <c r="BE12" s="4" t="s">
        <v>63</v>
      </c>
      <c r="BF12" t="str" cm="1">
        <f t="array" ref="BF12">_xlfn.IFS(BE12="-","-",BE12/50*100&gt;=90,4,BE12/50*100&gt;=80,3.6,BE12/50*100&gt;=70,3.2,BE12/50*100&gt;=60,2.8,BE12/50*100&gt;=50,2.4,BE12/50*100&gt;=40,2,BE12/50*100&gt;=35,1.6,TRUE, 0)</f>
        <v>-</v>
      </c>
      <c r="BG12" t="str" cm="1">
        <f t="array" ref="BG12">_xlfn.IFS(BF12="-","-",BF12=4,"A+",BF12=3.6,"A",BF12=3.2,"B+",BF12=2.8,"B",BF12=2.4,"C+",BF12=2,"C",BF12=1.6,"D",TRUE,"NG")</f>
        <v>-</v>
      </c>
      <c r="BH12" s="4" t="s">
        <v>63</v>
      </c>
      <c r="BI12" t="str" cm="1">
        <f t="array" ref="BI12">_xlfn.IFS(BH12="-","-",BH12/50*100&gt;=90,4,BH12/50*100&gt;=80,3.6,BH12/50*100&gt;=70,3.2,BH12/50*100&gt;=60,2.8,BH12/50*100&gt;=50,2.4,BH12/50*100&gt;=40,2,BH12/50*100&gt;=35,1.6,TRUE, 0)</f>
        <v>-</v>
      </c>
      <c r="BJ12" t="str" cm="1">
        <f t="array" ref="BJ12">_xlfn.IFS(BI12="-","-",BI12=4,"A+",BI12=3.6,"A",BI12=3.2,"B+",BI12=2.8,"B",BI12=2.4,"C+",BI12=2,"C",BI12=1.6,"D",TRUE,"NG")</f>
        <v>-</v>
      </c>
      <c r="BK12" t="str">
        <f t="shared" si="7"/>
        <v>-</v>
      </c>
      <c r="BL12" t="str" cm="1">
        <f t="array" ref="BL12">_xlfn.IFS(BK12="-","-",AND(BK12&lt;=4,BK12&gt;3.6),"A+",AND(BK12&lt;=3.6,BK12&gt;3.2),"A",AND(BK12&lt;=3.2,BK12&gt;2.8),"B+",AND(BK12&lt;=2.8,BK12&gt;2.4),"B",AND(BK12&lt;=2.4,BK12&gt;2),"C+",AND(BK12&lt;=2,BK12&gt;1.6),"C",BK12=1.6,"D",TRUE,"NG")</f>
        <v>-</v>
      </c>
      <c r="BM12" s="9" cm="1">
        <f t="array" ref="BM12">_xlfn.IFS(AW12&lt;&gt;"-",((J12*3+M12*1)+(R12*2.25+U12*0.75)+(Z12*3.75+AC12*1.25)+(AH12*3.75+AK12*1.25)+(AP12*3.75+AS12*1.25)+(AX12*3.75+BA12*1.25))/(4+3+5*4),BE12&lt;&gt;"-",((J12*3+M12*1)+(R12*2.25+U12*0.75)+(Z12*3.75+AC12*1.25)+(AH12*3.75+AK12*1.25)+(AP12*3.75+AS12*1.25)+(BF12*2.5+BI12*2.5))/(4+3+5*4))</f>
        <v>2.8481481481481485</v>
      </c>
    </row>
    <row r="13" spans="1:65" x14ac:dyDescent="0.3">
      <c r="A13" s="2">
        <v>112</v>
      </c>
      <c r="B13" s="12">
        <v>793270280025</v>
      </c>
      <c r="C13" s="13">
        <v>12706876</v>
      </c>
      <c r="D13" s="14" t="s">
        <v>78</v>
      </c>
      <c r="E13" s="3" t="s">
        <v>62</v>
      </c>
      <c r="F13" s="15">
        <v>58170</v>
      </c>
      <c r="G13" s="3" t="str">
        <f t="shared" si="0"/>
        <v>2059/04/05</v>
      </c>
      <c r="H13" s="3" t="str" cm="1">
        <f t="array" ref="H13">[1]!bs2ad(G13)</f>
        <v>2002-7-21</v>
      </c>
      <c r="I13" s="4">
        <v>40</v>
      </c>
      <c r="J13" s="5" cm="1">
        <f t="array" ref="J13">_xlfn.IFS(I13/75*100&gt;=90,4,I13/75*100&gt;=80,3.6,I13/75*100&gt;=70,3.2,I13/75*100&gt;=60,2.8,I13/75*100&gt;=50,2.4,I13/75*100&gt;=40,2,I13/75*100&gt;=35,1.6,TRUE, 0)</f>
        <v>2.4</v>
      </c>
      <c r="K13" s="5" t="str" cm="1">
        <f t="array" ref="K13">_xlfn.IFS(J13=4,"A+",J13=3.6,"A",J13=3.2,"B+",J13=2.8,"B",J13=2.4,"C+",J13=2,"C",J13=1.6,"D",TRUE,"NG")</f>
        <v>C+</v>
      </c>
      <c r="L13" s="4">
        <v>20</v>
      </c>
      <c r="M13" s="5" cm="1">
        <f t="array" ref="M13">_xlfn.IFS(L13/25*100&gt;=90,4,L13/25*100&gt;=80,3.6,L13/25*100&gt;=70,3.2,L13/25*100&gt;=60,2.8,L13/25*100&gt;=50,2.4,L13/25*100&gt;=40,2,L13/25*100&gt;=35,1.6,TRUE, 0)</f>
        <v>3.6</v>
      </c>
      <c r="N13" s="5" t="str" cm="1">
        <f t="array" ref="N13">_xlfn.IFS(M13=4,"A+",M13=3.6,"A",M13=3.2,"B+",M13=2.8,"B",M13=2.4,"C+",M13=2,"C",M13=1.6,"D",TRUE,"NG")</f>
        <v>A</v>
      </c>
      <c r="O13" s="5">
        <f t="shared" si="1"/>
        <v>2.6999999999999997</v>
      </c>
      <c r="P13" s="5" t="str" cm="1">
        <f t="array" ref="P13">_xlfn.IFS(AND(O13&lt;=4,O13&gt;3.6),"A+",AND(O13&lt;=3.6,O13&gt;3.2),"A",AND(O13&lt;=3.2,O13&gt;2.8),"B+",AND(O13&lt;=2.8,O13&gt;2.4),"B",AND(O13&lt;=2.4,O13&gt;2),"C+",AND(O13&lt;=2,O13&gt;1.6),"C",O13=1.6,"D",TRUE,"NG")</f>
        <v>B</v>
      </c>
      <c r="Q13" s="4">
        <v>50</v>
      </c>
      <c r="R13" s="5" cm="1">
        <f t="array" ref="R13">_xlfn.IFS(Q13/75*100&gt;=90,4,Q13/75*100&gt;=80,3.6,Q13/75*100&gt;=70,3.2,Q13/75*100&gt;=60,2.8,Q13/75*100&gt;=50,2.4,Q13/75*100&gt;=40,2,Q13/75*100&gt;=35,1.6,TRUE, 0)</f>
        <v>2.8</v>
      </c>
      <c r="S13" s="5" t="str" cm="1">
        <f t="array" ref="S13">_xlfn.IFS(R13=4,"A+",R13=3.6,"A",R13=3.2,"B+",R13=2.8,"B",R13=2.4,"C+",R13=2,"C",R13=1.6,"D",TRUE,"NG")</f>
        <v>B</v>
      </c>
      <c r="T13" s="5" cm="1">
        <f t="array" ref="T13">_xlfn.IFS(Q13&gt;=70,25,Q13&gt;=60,24,Q13&gt;=50,23,Q13&gt;=40,22,Q13&gt;=30,21,TRUE,20)</f>
        <v>23</v>
      </c>
      <c r="U13" s="5" cm="1">
        <f t="array" ref="U13">_xlfn.IFS(T13/25*100&gt;=90,4,T13/25*100&gt;=80,3.6,T13/25*100&gt;=70,3.2,T13/25*100&gt;=60,2.8,T13/25*100&gt;=50,2.4,T13/25*100&gt;=40,2,T13/25*100&gt;=35,1.6,TRUE, 0)</f>
        <v>4</v>
      </c>
      <c r="V13" s="5" t="str" cm="1">
        <f t="array" ref="V13">_xlfn.IFS(U13=4,"A+",U13=3.6,"A",U13=3.2,"B+",U13=2.8,"B",U13=2.4,"C+",U13=2,"C",U13=1.6,"D",TRUE,"NG")</f>
        <v>A+</v>
      </c>
      <c r="W13" s="5">
        <f t="shared" si="2"/>
        <v>3.1</v>
      </c>
      <c r="X13" s="5" t="str" cm="1">
        <f t="array" ref="X13">_xlfn.IFS(AND(W13&lt;=4,W13&gt;3.6),"A+",AND(W13&lt;=3.6,W13&gt;3.2),"A",AND(W13&lt;=3.2,W13&gt;2.8),"B+",AND(W13&lt;=2.8,W13&gt;2.4),"B",AND(W13&lt;=2.4,W13&gt;2),"C+",AND(W13&lt;=2,W13&gt;1.6),"C",W13=1.6,"D",TRUE,"NG")</f>
        <v>B+</v>
      </c>
      <c r="Y13" s="4">
        <v>39</v>
      </c>
      <c r="Z13" s="5" cm="1">
        <f t="array" ref="Z13">_xlfn.IFS(Y13/75*100&gt;=90,4,Y13/75*100&gt;=80,3.6,Y13/75*100&gt;=70,3.2,Y13/75*100&gt;=60,2.8,Y13/75*100&gt;=50,2.4,Y13/75*100&gt;=40,2,Y13/75*100&gt;=35,1.6,TRUE, 0)</f>
        <v>2.4</v>
      </c>
      <c r="AA13" s="5" t="str" cm="1">
        <f t="array" ref="AA13">_xlfn.IFS(Z13=4,"A+",Z13=3.6,"A",Z13=3.2,"B+",Z13=2.8,"B",Z13=2.4,"C+",Z13=2,"C",Z13=1.6,"D",TRUE,"NG")</f>
        <v>C+</v>
      </c>
      <c r="AB13" s="4">
        <v>23</v>
      </c>
      <c r="AC13" s="5" cm="1">
        <f t="array" ref="AC13">_xlfn.IFS(AB13/25*100&gt;=90,4,AB13/25*100&gt;=80,3.6,AB13/25*100&gt;=70,3.2,AB13/25*100&gt;=60,2.8,AB13/25*100&gt;=50,2.4,AB13/25*100&gt;=40,2,AB13/25*100&gt;=35,1.6,TRUE, 0)</f>
        <v>4</v>
      </c>
      <c r="AD13" s="5" t="str" cm="1">
        <f t="array" ref="AD13">_xlfn.IFS(AC13=4,"A+",AC13=3.6,"A",AC13=3.2,"B+",AC13=2.8,"B",AC13=2.4,"C+",AC13=2,"C",AC13=1.6,"D",TRUE,"NG")</f>
        <v>A+</v>
      </c>
      <c r="AE13" s="5">
        <f t="shared" si="3"/>
        <v>2.8</v>
      </c>
      <c r="AF13" s="5" t="str" cm="1">
        <f t="array" ref="AF13">_xlfn.IFS(AND(AE13&lt;=4,AE13&gt;3.6),"A+",AND(AE13&lt;=3.6,AE13&gt;3.2),"A",AND(AE13&lt;=3.2,AE13&gt;2.8),"B+",AND(AE13&lt;=2.8,AE13&gt;2.4),"B",AND(AE13&lt;=2.4,AE13&gt;2),"C+",AND(AE13&lt;=2,AE13&gt;1.6),"C",AE13=1.6,"D",TRUE,"NG")</f>
        <v>B</v>
      </c>
      <c r="AG13" s="4">
        <v>42</v>
      </c>
      <c r="AH13" s="5" cm="1">
        <f t="array" ref="AH13">_xlfn.IFS(AG13/75*100&gt;=90,4,AG13/75*100&gt;=80,3.6,AG13/75*100&gt;=70,3.2,AG13/75*100&gt;=60,2.8,AG13/75*100&gt;=50,2.4,AG13/75*100&gt;=40,2,AG13/75*100&gt;=35,1.6,TRUE, 0)</f>
        <v>2.4</v>
      </c>
      <c r="AI13" s="5" t="str" cm="1">
        <f t="array" ref="AI13">_xlfn.IFS(AH13=4,"A+",AH13=3.6,"A",AH13=3.2,"B+",AH13=2.8,"B",AH13=2.4,"C+",AH13=2,"C",AH13=1.6,"D",TRUE,"NG")</f>
        <v>C+</v>
      </c>
      <c r="AJ13" s="4">
        <v>22</v>
      </c>
      <c r="AK13" s="5" cm="1">
        <f t="array" ref="AK13">_xlfn.IFS(AJ13/25*100&gt;=90,4,AJ13/25*100&gt;=80,3.6,AJ13/25*100&gt;=70,3.2,AJ13/25*100&gt;=60,2.8,AJ13/25*100&gt;=50,2.4,AJ13/25*100&gt;=40,2,AJ13/25*100&gt;=35,1.6,TRUE, 0)</f>
        <v>3.6</v>
      </c>
      <c r="AL13" s="5" t="str" cm="1">
        <f t="array" ref="AL13">_xlfn.IFS(AK13=4,"A+",AK13=3.6,"A",AK13=3.2,"B+",AK13=2.8,"B",AK13=2.4,"C+",AK13=2,"C",AK13=1.6,"D",TRUE,"NG")</f>
        <v>A</v>
      </c>
      <c r="AM13" s="5">
        <f t="shared" si="4"/>
        <v>2.7</v>
      </c>
      <c r="AN13" s="5" t="str" cm="1">
        <f t="array" ref="AN13">_xlfn.IFS(AND(AM13&lt;=4,AM13&gt;3.6),"A+",AND(AM13&lt;=3.6,AM13&gt;3.2),"A",AND(AM13&lt;=3.2,AM13&gt;2.8),"B+",AND(AM13&lt;=2.8,AM13&gt;2.4),"B",AND(AM13&lt;=2.4,AM13&gt;2),"C+",AND(AM13&lt;=2,AM13&gt;1.6),"C",AM13=1.6,"D",TRUE,"NG")</f>
        <v>B</v>
      </c>
      <c r="AO13" s="4">
        <v>57</v>
      </c>
      <c r="AP13" s="5" cm="1">
        <f t="array" ref="AP13">_xlfn.IFS(AO13/75*100&gt;=90,4,AO13/75*100&gt;=80,3.6,AO13/75*100&gt;=70,3.2,AO13/75*100&gt;=60,2.8,AO13/75*100&gt;=50,2.4,AO13/75*100&gt;=40,2,AO13/75*100&gt;=35,1.6,TRUE, 0)</f>
        <v>3.2</v>
      </c>
      <c r="AQ13" s="5" t="str" cm="1">
        <f t="array" ref="AQ13">_xlfn.IFS(AP13=4,"A+",AP13=3.6,"A",AP13=3.2,"B+",AP13=2.8,"B",AP13=2.4,"C+",AP13=2,"C",AP13=1.6,"D",TRUE,"NG")</f>
        <v>B+</v>
      </c>
      <c r="AR13" s="5" cm="1">
        <f t="array" ref="AR13">_xlfn.IFS(AO13&gt;=70,25,AO13&gt;=60,24,AO13&gt;=50,23,AO13&gt;=40,22,AO13&gt;=30,21,TRUE,20)</f>
        <v>23</v>
      </c>
      <c r="AS13" s="5" cm="1">
        <f t="array" ref="AS13">_xlfn.IFS(AR13/25*100&gt;=90,4,AR13/25*100&gt;=80,3.6,AR13/25*100&gt;=70,3.2,AR13/25*100&gt;=60,2.8,AR13/25*100&gt;=50,2.4,AR13/25*100&gt;=40,2,AR13/25*100&gt;=35,1.6,TRUE, 0)</f>
        <v>4</v>
      </c>
      <c r="AT13" s="5" t="str" cm="1">
        <f t="array" ref="AT13">_xlfn.IFS(AS13=4,"A+",AS13=3.6,"A",AS13=3.2,"B+",AS13=2.8,"B",AS13=2.4,"C+",AS13=2,"C",AS13=1.6,"D",TRUE,"NG")</f>
        <v>A+</v>
      </c>
      <c r="AU13" s="5">
        <f t="shared" si="5"/>
        <v>3.4</v>
      </c>
      <c r="AV13" s="5" t="str" cm="1">
        <f t="array" ref="AV13">_xlfn.IFS(AND(AU13&lt;=4,AU13&gt;3.6),"A+",AND(AU13&lt;=3.6,AU13&gt;3.2),"A",AND(AU13&lt;=3.2,AU13&gt;2.8),"B+",AND(AU13&lt;=2.8,AU13&gt;2.4),"B",AND(AU13&lt;=2.4,AU13&gt;2),"C+",AND(AU13&lt;=2,AU13&gt;1.6),"C",AU13=1.6,"D",TRUE,"NG")</f>
        <v>A</v>
      </c>
      <c r="AW13" s="4" t="s">
        <v>63</v>
      </c>
      <c r="AX13" s="5" t="str" cm="1">
        <f t="array" ref="AX13">_xlfn.IFS(AW13="-","-",AW13/75*100&gt;=90,4,AW13/75*100&gt;=80,3.6,AW13/75*100&gt;=70,3.2,AW13/75*100&gt;=60,2.8,AW13/75*100&gt;=50,2.4,AW13/75*100&gt;=40,2,AW13/75*100&gt;=35,1.6,TRUE, 0)</f>
        <v>-</v>
      </c>
      <c r="AY13" s="5" t="str" cm="1">
        <f t="array" ref="AY13">_xlfn.IFS(AX13="-","-",AX13=4,"A+",AX13=3.6,"A",AX13=3.2,"B+",AX13=2.8,"B",AX13=2.4,"C+",AX13=2,"C",AX13=1.6,"D",TRUE,"NG")</f>
        <v>-</v>
      </c>
      <c r="AZ13" s="4" t="s">
        <v>63</v>
      </c>
      <c r="BA13" s="5" t="str" cm="1">
        <f t="array" ref="BA13">_xlfn.IFS(AZ13="-","-",AZ13/25*100&gt;=90,4,AZ13/25*100&gt;=80,3.6,AZ13/25*100&gt;=70,3.2,AZ13/25*100&gt;=60,2.8,AZ13/25*100&gt;=50,2.4,AZ13/25*100&gt;=40,2,AZ13/25*100&gt;=35,1.6,TRUE, 0)</f>
        <v>-</v>
      </c>
      <c r="BB13" s="5" t="str" cm="1">
        <f t="array" ref="BB13">_xlfn.IFS(BA13="-","-",BA13=4,"A+",BA13=3.6,"A",BA13=3.2,"B+",BA13=2.8,"B",BA13=2.4,"C+",BA13=2,"C",BA13=1.6,"D",TRUE,"NG")</f>
        <v>-</v>
      </c>
      <c r="BC13" s="5" t="str">
        <f t="shared" si="6"/>
        <v>-</v>
      </c>
      <c r="BD13" s="5" t="str" cm="1">
        <f t="array" ref="BD13">_xlfn.IFS(BC13="-","-",AND(BC13&lt;=4,BC13&gt;3.6),"A+",AND(BC13&lt;=3.6,BC13&gt;3.2),"A",AND(BC13&lt;=3.2,BC13&gt;2.8),"B+",AND(BC13&lt;=2.8,BC13&gt;2.4),"B",AND(BC13&lt;=2.4,BC13&gt;2),"C+",AND(BC13&lt;=2,BC13&gt;1.6),"C",BC13=1.6,"D",TRUE,"NG")</f>
        <v>-</v>
      </c>
      <c r="BE13" s="4">
        <v>24</v>
      </c>
      <c r="BF13" cm="1">
        <f t="array" ref="BF13">_xlfn.IFS(BE13="-","-",BE13/50*100&gt;=90,4,BE13/50*100&gt;=80,3.6,BE13/50*100&gt;=70,3.2,BE13/50*100&gt;=60,2.8,BE13/50*100&gt;=50,2.4,BE13/50*100&gt;=40,2,BE13/50*100&gt;=35,1.6,TRUE, 0)</f>
        <v>2</v>
      </c>
      <c r="BG13" t="str" cm="1">
        <f t="array" ref="BG13">_xlfn.IFS(BF13="-","-",BF13=4,"A+",BF13=3.6,"A",BF13=3.2,"B+",BF13=2.8,"B",BF13=2.4,"C+",BF13=2,"C",BF13=1.6,"D",TRUE,"NG")</f>
        <v>C</v>
      </c>
      <c r="BH13" s="4">
        <v>36</v>
      </c>
      <c r="BI13" cm="1">
        <f t="array" ref="BI13">_xlfn.IFS(BH13="-","-",BH13/50*100&gt;=90,4,BH13/50*100&gt;=80,3.6,BH13/50*100&gt;=70,3.2,BH13/50*100&gt;=60,2.8,BH13/50*100&gt;=50,2.4,BH13/50*100&gt;=40,2,BH13/50*100&gt;=35,1.6,TRUE, 0)</f>
        <v>3.2</v>
      </c>
      <c r="BJ13" t="str" cm="1">
        <f t="array" ref="BJ13">_xlfn.IFS(BI13="-","-",BI13=4,"A+",BI13=3.6,"A",BI13=3.2,"B+",BI13=2.8,"B",BI13=2.4,"C+",BI13=2,"C",BI13=1.6,"D",TRUE,"NG")</f>
        <v>B+</v>
      </c>
      <c r="BK13">
        <f t="shared" si="7"/>
        <v>2.6</v>
      </c>
      <c r="BL13" t="str" cm="1">
        <f t="array" ref="BL13">_xlfn.IFS(BK13="-","-",AND(BK13&lt;=4,BK13&gt;3.6),"A+",AND(BK13&lt;=3.6,BK13&gt;3.2),"A",AND(BK13&lt;=3.2,BK13&gt;2.8),"B+",AND(BK13&lt;=2.8,BK13&gt;2.4),"B",AND(BK13&lt;=2.4,BK13&gt;2),"C+",AND(BK13&lt;=2,BK13&gt;1.6),"C",BK13=1.6,"D",TRUE,"NG")</f>
        <v>B</v>
      </c>
      <c r="BM13" s="9" cm="1">
        <f t="array" ref="BM13">_xlfn.IFS(AW13&lt;&gt;"-",((J13*3+M13*1)+(R13*2.25+U13*0.75)+(Z13*3.75+AC13*1.25)+(AH13*3.75+AK13*1.25)+(AP13*3.75+AS13*1.25)+(AX13*3.75+BA13*1.25))/(4+3+5*4),BE13&lt;&gt;"-",((J13*3+M13*1)+(R13*2.25+U13*0.75)+(Z13*3.75+AC13*1.25)+(AH13*3.75+AK13*1.25)+(AP13*3.75+AS13*1.25)+(BF13*2.5+BI13*2.5))/(4+3+5*4))</f>
        <v>2.8740740740740738</v>
      </c>
    </row>
    <row r="14" spans="1:65" x14ac:dyDescent="0.3">
      <c r="A14" s="2">
        <v>113</v>
      </c>
      <c r="B14" s="12">
        <v>793270280026</v>
      </c>
      <c r="C14" s="13">
        <v>12706877</v>
      </c>
      <c r="D14" s="14" t="s">
        <v>79</v>
      </c>
      <c r="E14" s="3" t="s">
        <v>64</v>
      </c>
      <c r="F14" s="15">
        <v>59864</v>
      </c>
      <c r="G14" s="3" t="str">
        <f t="shared" si="0"/>
        <v>2063/11/24</v>
      </c>
      <c r="H14" s="3" t="str" cm="1">
        <f t="array" ref="H14">[1]!bs2ad(G14)</f>
        <v>2007-3-8</v>
      </c>
      <c r="I14" s="4">
        <v>45</v>
      </c>
      <c r="J14" s="5" cm="1">
        <f t="array" ref="J14">_xlfn.IFS(I14/75*100&gt;=90,4,I14/75*100&gt;=80,3.6,I14/75*100&gt;=70,3.2,I14/75*100&gt;=60,2.8,I14/75*100&gt;=50,2.4,I14/75*100&gt;=40,2,I14/75*100&gt;=35,1.6,TRUE, 0)</f>
        <v>2.8</v>
      </c>
      <c r="K14" s="5" t="str" cm="1">
        <f t="array" ref="K14">_xlfn.IFS(J14=4,"A+",J14=3.6,"A",J14=3.2,"B+",J14=2.8,"B",J14=2.4,"C+",J14=2,"C",J14=1.6,"D",TRUE,"NG")</f>
        <v>B</v>
      </c>
      <c r="L14" s="4">
        <v>20</v>
      </c>
      <c r="M14" s="5" cm="1">
        <f t="array" ref="M14">_xlfn.IFS(L14/25*100&gt;=90,4,L14/25*100&gt;=80,3.6,L14/25*100&gt;=70,3.2,L14/25*100&gt;=60,2.8,L14/25*100&gt;=50,2.4,L14/25*100&gt;=40,2,L14/25*100&gt;=35,1.6,TRUE, 0)</f>
        <v>3.6</v>
      </c>
      <c r="N14" s="5" t="str" cm="1">
        <f t="array" ref="N14">_xlfn.IFS(M14=4,"A+",M14=3.6,"A",M14=3.2,"B+",M14=2.8,"B",M14=2.4,"C+",M14=2,"C",M14=1.6,"D",TRUE,"NG")</f>
        <v>A</v>
      </c>
      <c r="O14" s="5">
        <f t="shared" si="1"/>
        <v>2.9999999999999996</v>
      </c>
      <c r="P14" s="5" t="str" cm="1">
        <f t="array" ref="P14">_xlfn.IFS(AND(O14&lt;=4,O14&gt;3.6),"A+",AND(O14&lt;=3.6,O14&gt;3.2),"A",AND(O14&lt;=3.2,O14&gt;2.8),"B+",AND(O14&lt;=2.8,O14&gt;2.4),"B",AND(O14&lt;=2.4,O14&gt;2),"C+",AND(O14&lt;=2,O14&gt;1.6),"C",O14=1.6,"D",TRUE,"NG")</f>
        <v>B+</v>
      </c>
      <c r="Q14" s="4">
        <v>41</v>
      </c>
      <c r="R14" s="5" cm="1">
        <f t="array" ref="R14">_xlfn.IFS(Q14/75*100&gt;=90,4,Q14/75*100&gt;=80,3.6,Q14/75*100&gt;=70,3.2,Q14/75*100&gt;=60,2.8,Q14/75*100&gt;=50,2.4,Q14/75*100&gt;=40,2,Q14/75*100&gt;=35,1.6,TRUE, 0)</f>
        <v>2.4</v>
      </c>
      <c r="S14" s="5" t="str" cm="1">
        <f t="array" ref="S14">_xlfn.IFS(R14=4,"A+",R14=3.6,"A",R14=3.2,"B+",R14=2.8,"B",R14=2.4,"C+",R14=2,"C",R14=1.6,"D",TRUE,"NG")</f>
        <v>C+</v>
      </c>
      <c r="T14" s="5" cm="1">
        <f t="array" ref="T14">_xlfn.IFS(Q14&gt;=70,25,Q14&gt;=60,24,Q14&gt;=50,23,Q14&gt;=40,22,Q14&gt;=30,21,TRUE,20)</f>
        <v>22</v>
      </c>
      <c r="U14" s="5" cm="1">
        <f t="array" ref="U14">_xlfn.IFS(T14/25*100&gt;=90,4,T14/25*100&gt;=80,3.6,T14/25*100&gt;=70,3.2,T14/25*100&gt;=60,2.8,T14/25*100&gt;=50,2.4,T14/25*100&gt;=40,2,T14/25*100&gt;=35,1.6,TRUE, 0)</f>
        <v>3.6</v>
      </c>
      <c r="V14" s="5" t="str" cm="1">
        <f t="array" ref="V14">_xlfn.IFS(U14=4,"A+",U14=3.6,"A",U14=3.2,"B+",U14=2.8,"B",U14=2.4,"C+",U14=2,"C",U14=1.6,"D",TRUE,"NG")</f>
        <v>A</v>
      </c>
      <c r="W14" s="5">
        <f t="shared" si="2"/>
        <v>2.6999999999999997</v>
      </c>
      <c r="X14" s="5" t="str" cm="1">
        <f t="array" ref="X14">_xlfn.IFS(AND(W14&lt;=4,W14&gt;3.6),"A+",AND(W14&lt;=3.6,W14&gt;3.2),"A",AND(W14&lt;=3.2,W14&gt;2.8),"B+",AND(W14&lt;=2.8,W14&gt;2.4),"B",AND(W14&lt;=2.4,W14&gt;2),"C+",AND(W14&lt;=2,W14&gt;1.6),"C",W14=1.6,"D",TRUE,"NG")</f>
        <v>B</v>
      </c>
      <c r="Y14" s="4">
        <v>31</v>
      </c>
      <c r="Z14" s="5" cm="1">
        <f t="array" ref="Z14">_xlfn.IFS(Y14/75*100&gt;=90,4,Y14/75*100&gt;=80,3.6,Y14/75*100&gt;=70,3.2,Y14/75*100&gt;=60,2.8,Y14/75*100&gt;=50,2.4,Y14/75*100&gt;=40,2,Y14/75*100&gt;=35,1.6,TRUE, 0)</f>
        <v>2</v>
      </c>
      <c r="AA14" s="5" t="str" cm="1">
        <f t="array" ref="AA14">_xlfn.IFS(Z14=4,"A+",Z14=3.6,"A",Z14=3.2,"B+",Z14=2.8,"B",Z14=2.4,"C+",Z14=2,"C",Z14=1.6,"D",TRUE,"NG")</f>
        <v>C</v>
      </c>
      <c r="AB14" s="4">
        <v>23</v>
      </c>
      <c r="AC14" s="5" cm="1">
        <f t="array" ref="AC14">_xlfn.IFS(AB14/25*100&gt;=90,4,AB14/25*100&gt;=80,3.6,AB14/25*100&gt;=70,3.2,AB14/25*100&gt;=60,2.8,AB14/25*100&gt;=50,2.4,AB14/25*100&gt;=40,2,AB14/25*100&gt;=35,1.6,TRUE, 0)</f>
        <v>4</v>
      </c>
      <c r="AD14" s="5" t="str" cm="1">
        <f t="array" ref="AD14">_xlfn.IFS(AC14=4,"A+",AC14=3.6,"A",AC14=3.2,"B+",AC14=2.8,"B",AC14=2.4,"C+",AC14=2,"C",AC14=1.6,"D",TRUE,"NG")</f>
        <v>A+</v>
      </c>
      <c r="AE14" s="5">
        <f t="shared" si="3"/>
        <v>2.5</v>
      </c>
      <c r="AF14" s="5" t="str" cm="1">
        <f t="array" ref="AF14">_xlfn.IFS(AND(AE14&lt;=4,AE14&gt;3.6),"A+",AND(AE14&lt;=3.6,AE14&gt;3.2),"A",AND(AE14&lt;=3.2,AE14&gt;2.8),"B+",AND(AE14&lt;=2.8,AE14&gt;2.4),"B",AND(AE14&lt;=2.4,AE14&gt;2),"C+",AND(AE14&lt;=2,AE14&gt;1.6),"C",AE14=1.6,"D",TRUE,"NG")</f>
        <v>B</v>
      </c>
      <c r="AG14" s="4">
        <v>22</v>
      </c>
      <c r="AH14" s="5" cm="1">
        <f t="array" ref="AH14">_xlfn.IFS(AG14/75*100&gt;=90,4,AG14/75*100&gt;=80,3.6,AG14/75*100&gt;=70,3.2,AG14/75*100&gt;=60,2.8,AG14/75*100&gt;=50,2.4,AG14/75*100&gt;=40,2,AG14/75*100&gt;=35,1.6,TRUE, 0)</f>
        <v>0</v>
      </c>
      <c r="AI14" s="5" t="str" cm="1">
        <f t="array" ref="AI14">_xlfn.IFS(AH14=4,"A+",AH14=3.6,"A",AH14=3.2,"B+",AH14=2.8,"B",AH14=2.4,"C+",AH14=2,"C",AH14=1.6,"D",TRUE,"NG")</f>
        <v>NG</v>
      </c>
      <c r="AJ14" s="4">
        <v>22</v>
      </c>
      <c r="AK14" s="5" cm="1">
        <f t="array" ref="AK14">_xlfn.IFS(AJ14/25*100&gt;=90,4,AJ14/25*100&gt;=80,3.6,AJ14/25*100&gt;=70,3.2,AJ14/25*100&gt;=60,2.8,AJ14/25*100&gt;=50,2.4,AJ14/25*100&gt;=40,2,AJ14/25*100&gt;=35,1.6,TRUE, 0)</f>
        <v>3.6</v>
      </c>
      <c r="AL14" s="5" t="str" cm="1">
        <f t="array" ref="AL14">_xlfn.IFS(AK14=4,"A+",AK14=3.6,"A",AK14=3.2,"B+",AK14=2.8,"B",AK14=2.4,"C+",AK14=2,"C",AK14=1.6,"D",TRUE,"NG")</f>
        <v>A</v>
      </c>
      <c r="AM14" s="5">
        <f t="shared" si="4"/>
        <v>0.9</v>
      </c>
      <c r="AN14" s="5" t="str" cm="1">
        <f t="array" ref="AN14">_xlfn.IFS(AND(AM14&lt;=4,AM14&gt;3.6),"A+",AND(AM14&lt;=3.6,AM14&gt;3.2),"A",AND(AM14&lt;=3.2,AM14&gt;2.8),"B+",AND(AM14&lt;=2.8,AM14&gt;2.4),"B",AND(AM14&lt;=2.4,AM14&gt;2),"C+",AND(AM14&lt;=2,AM14&gt;1.6),"C",AM14=1.6,"D",TRUE,"NG")</f>
        <v>NG</v>
      </c>
      <c r="AO14" s="4">
        <v>40</v>
      </c>
      <c r="AP14" s="5" cm="1">
        <f t="array" ref="AP14">_xlfn.IFS(AO14/75*100&gt;=90,4,AO14/75*100&gt;=80,3.6,AO14/75*100&gt;=70,3.2,AO14/75*100&gt;=60,2.8,AO14/75*100&gt;=50,2.4,AO14/75*100&gt;=40,2,AO14/75*100&gt;=35,1.6,TRUE, 0)</f>
        <v>2.4</v>
      </c>
      <c r="AQ14" s="5" t="str" cm="1">
        <f t="array" ref="AQ14">_xlfn.IFS(AP14=4,"A+",AP14=3.6,"A",AP14=3.2,"B+",AP14=2.8,"B",AP14=2.4,"C+",AP14=2,"C",AP14=1.6,"D",TRUE,"NG")</f>
        <v>C+</v>
      </c>
      <c r="AR14" s="5" cm="1">
        <f t="array" ref="AR14">_xlfn.IFS(AO14&gt;=70,25,AO14&gt;=60,24,AO14&gt;=50,23,AO14&gt;=40,22,AO14&gt;=30,21,TRUE,20)</f>
        <v>22</v>
      </c>
      <c r="AS14" s="5" cm="1">
        <f t="array" ref="AS14">_xlfn.IFS(AR14/25*100&gt;=90,4,AR14/25*100&gt;=80,3.6,AR14/25*100&gt;=70,3.2,AR14/25*100&gt;=60,2.8,AR14/25*100&gt;=50,2.4,AR14/25*100&gt;=40,2,AR14/25*100&gt;=35,1.6,TRUE, 0)</f>
        <v>3.6</v>
      </c>
      <c r="AT14" s="5" t="str" cm="1">
        <f t="array" ref="AT14">_xlfn.IFS(AS14=4,"A+",AS14=3.6,"A",AS14=3.2,"B+",AS14=2.8,"B",AS14=2.4,"C+",AS14=2,"C",AS14=1.6,"D",TRUE,"NG")</f>
        <v>A</v>
      </c>
      <c r="AU14" s="5">
        <f t="shared" si="5"/>
        <v>2.7</v>
      </c>
      <c r="AV14" s="5" t="str" cm="1">
        <f t="array" ref="AV14">_xlfn.IFS(AND(AU14&lt;=4,AU14&gt;3.6),"A+",AND(AU14&lt;=3.6,AU14&gt;3.2),"A",AND(AU14&lt;=3.2,AU14&gt;2.8),"B+",AND(AU14&lt;=2.8,AU14&gt;2.4),"B",AND(AU14&lt;=2.4,AU14&gt;2),"C+",AND(AU14&lt;=2,AU14&gt;1.6),"C",AU14=1.6,"D",TRUE,"NG")</f>
        <v>B</v>
      </c>
      <c r="AW14" s="4">
        <v>30</v>
      </c>
      <c r="AX14" s="5" cm="1">
        <f t="array" ref="AX14">_xlfn.IFS(AW14="-","-",AW14/75*100&gt;=90,4,AW14/75*100&gt;=80,3.6,AW14/75*100&gt;=70,3.2,AW14/75*100&gt;=60,2.8,AW14/75*100&gt;=50,2.4,AW14/75*100&gt;=40,2,AW14/75*100&gt;=35,1.6,TRUE, 0)</f>
        <v>2</v>
      </c>
      <c r="AY14" s="5" t="str" cm="1">
        <f t="array" ref="AY14">_xlfn.IFS(AX14="-","-",AX14=4,"A+",AX14=3.6,"A",AX14=3.2,"B+",AX14=2.8,"B",AX14=2.4,"C+",AX14=2,"C",AX14=1.6,"D",TRUE,"NG")</f>
        <v>C</v>
      </c>
      <c r="AZ14" s="4">
        <v>18</v>
      </c>
      <c r="BA14" s="5" cm="1">
        <f t="array" ref="BA14">_xlfn.IFS(AZ14="-","-",AZ14/25*100&gt;=90,4,AZ14/25*100&gt;=80,3.6,AZ14/25*100&gt;=70,3.2,AZ14/25*100&gt;=60,2.8,AZ14/25*100&gt;=50,2.4,AZ14/25*100&gt;=40,2,AZ14/25*100&gt;=35,1.6,TRUE, 0)</f>
        <v>3.2</v>
      </c>
      <c r="BB14" s="5" t="str" cm="1">
        <f t="array" ref="BB14">_xlfn.IFS(BA14="-","-",BA14=4,"A+",BA14=3.6,"A",BA14=3.2,"B+",BA14=2.8,"B",BA14=2.4,"C+",BA14=2,"C",BA14=1.6,"D",TRUE,"NG")</f>
        <v>B+</v>
      </c>
      <c r="BC14" s="5">
        <f t="shared" si="6"/>
        <v>2.2999999999999998</v>
      </c>
      <c r="BD14" s="5" t="str" cm="1">
        <f t="array" ref="BD14">_xlfn.IFS(BC14="-","-",AND(BC14&lt;=4,BC14&gt;3.6),"A+",AND(BC14&lt;=3.6,BC14&gt;3.2),"A",AND(BC14&lt;=3.2,BC14&gt;2.8),"B+",AND(BC14&lt;=2.8,BC14&gt;2.4),"B",AND(BC14&lt;=2.4,BC14&gt;2),"C+",AND(BC14&lt;=2,BC14&gt;1.6),"C",BC14=1.6,"D",TRUE,"NG")</f>
        <v>C+</v>
      </c>
      <c r="BE14" s="4" t="s">
        <v>63</v>
      </c>
      <c r="BF14" t="str" cm="1">
        <f t="array" ref="BF14">_xlfn.IFS(BE14="-","-",BE14/50*100&gt;=90,4,BE14/50*100&gt;=80,3.6,BE14/50*100&gt;=70,3.2,BE14/50*100&gt;=60,2.8,BE14/50*100&gt;=50,2.4,BE14/50*100&gt;=40,2,BE14/50*100&gt;=35,1.6,TRUE, 0)</f>
        <v>-</v>
      </c>
      <c r="BG14" t="str" cm="1">
        <f t="array" ref="BG14">_xlfn.IFS(BF14="-","-",BF14=4,"A+",BF14=3.6,"A",BF14=3.2,"B+",BF14=2.8,"B",BF14=2.4,"C+",BF14=2,"C",BF14=1.6,"D",TRUE,"NG")</f>
        <v>-</v>
      </c>
      <c r="BH14" s="4" t="s">
        <v>63</v>
      </c>
      <c r="BI14" t="str" cm="1">
        <f t="array" ref="BI14">_xlfn.IFS(BH14="-","-",BH14/50*100&gt;=90,4,BH14/50*100&gt;=80,3.6,BH14/50*100&gt;=70,3.2,BH14/50*100&gt;=60,2.8,BH14/50*100&gt;=50,2.4,BH14/50*100&gt;=40,2,BH14/50*100&gt;=35,1.6,TRUE, 0)</f>
        <v>-</v>
      </c>
      <c r="BJ14" t="str" cm="1">
        <f t="array" ref="BJ14">_xlfn.IFS(BI14="-","-",BI14=4,"A+",BI14=3.6,"A",BI14=3.2,"B+",BI14=2.8,"B",BI14=2.4,"C+",BI14=2,"C",BI14=1.6,"D",TRUE,"NG")</f>
        <v>-</v>
      </c>
      <c r="BK14" t="str">
        <f t="shared" si="7"/>
        <v>-</v>
      </c>
      <c r="BL14" t="str" cm="1">
        <f t="array" ref="BL14">_xlfn.IFS(BK14="-","-",AND(BK14&lt;=4,BK14&gt;3.6),"A+",AND(BK14&lt;=3.6,BK14&gt;3.2),"A",AND(BK14&lt;=3.2,BK14&gt;2.8),"B+",AND(BK14&lt;=2.8,BK14&gt;2.4),"B",AND(BK14&lt;=2.4,BK14&gt;2),"C+",AND(BK14&lt;=2,BK14&gt;1.6),"C",BK14=1.6,"D",TRUE,"NG")</f>
        <v>-</v>
      </c>
      <c r="BM14" s="9" cm="1">
        <f t="array" ref="BM14">_xlfn.IFS(AW14&lt;&gt;"-",((J14*3+M14*1)+(R14*2.25+U14*0.75)+(Z14*3.75+AC14*1.25)+(AH14*3.75+AK14*1.25)+(AP14*3.75+AS14*1.25)+(AX14*3.75+BA14*1.25))/(4+3+5*4),BE14&lt;&gt;"-",((J14*3+M14*1)+(R14*2.25+U14*0.75)+(Z14*3.75+AC14*1.25)+(AH14*3.75+AK14*1.25)+(AP14*3.75+AS14*1.25)+(BF14*2.5+BI14*2.5))/(4+3+5*4))</f>
        <v>2.2999999999999998</v>
      </c>
    </row>
    <row r="15" spans="1:65" x14ac:dyDescent="0.3">
      <c r="A15" s="2">
        <v>114</v>
      </c>
      <c r="B15" s="12">
        <v>793270280030</v>
      </c>
      <c r="C15" s="13">
        <v>12706881</v>
      </c>
      <c r="D15" s="14" t="s">
        <v>80</v>
      </c>
      <c r="E15" s="3" t="s">
        <v>62</v>
      </c>
      <c r="F15" s="15">
        <v>59454</v>
      </c>
      <c r="G15" s="3" t="str">
        <f t="shared" si="0"/>
        <v>2062/10/10</v>
      </c>
      <c r="H15" s="3" t="str" cm="1">
        <f t="array" ref="H15">[1]!bs2ad(G15)</f>
        <v>2006-1-23</v>
      </c>
      <c r="I15" s="4">
        <v>52</v>
      </c>
      <c r="J15" s="5" cm="1">
        <f t="array" ref="J15">_xlfn.IFS(I15/75*100&gt;=90,4,I15/75*100&gt;=80,3.6,I15/75*100&gt;=70,3.2,I15/75*100&gt;=60,2.8,I15/75*100&gt;=50,2.4,I15/75*100&gt;=40,2,I15/75*100&gt;=35,1.6,TRUE, 0)</f>
        <v>2.8</v>
      </c>
      <c r="K15" s="5" t="str" cm="1">
        <f t="array" ref="K15">_xlfn.IFS(J15=4,"A+",J15=3.6,"A",J15=3.2,"B+",J15=2.8,"B",J15=2.4,"C+",J15=2,"C",J15=1.6,"D",TRUE,"NG")</f>
        <v>B</v>
      </c>
      <c r="L15" s="4">
        <v>20</v>
      </c>
      <c r="M15" s="5" cm="1">
        <f t="array" ref="M15">_xlfn.IFS(L15/25*100&gt;=90,4,L15/25*100&gt;=80,3.6,L15/25*100&gt;=70,3.2,L15/25*100&gt;=60,2.8,L15/25*100&gt;=50,2.4,L15/25*100&gt;=40,2,L15/25*100&gt;=35,1.6,TRUE, 0)</f>
        <v>3.6</v>
      </c>
      <c r="N15" s="5" t="str" cm="1">
        <f t="array" ref="N15">_xlfn.IFS(M15=4,"A+",M15=3.6,"A",M15=3.2,"B+",M15=2.8,"B",M15=2.4,"C+",M15=2,"C",M15=1.6,"D",TRUE,"NG")</f>
        <v>A</v>
      </c>
      <c r="O15" s="5">
        <f t="shared" si="1"/>
        <v>2.9999999999999996</v>
      </c>
      <c r="P15" s="5" t="str" cm="1">
        <f t="array" ref="P15">_xlfn.IFS(AND(O15&lt;=4,O15&gt;3.6),"A+",AND(O15&lt;=3.6,O15&gt;3.2),"A",AND(O15&lt;=3.2,O15&gt;2.8),"B+",AND(O15&lt;=2.8,O15&gt;2.4),"B",AND(O15&lt;=2.4,O15&gt;2),"C+",AND(O15&lt;=2,O15&gt;1.6),"C",O15=1.6,"D",TRUE,"NG")</f>
        <v>B+</v>
      </c>
      <c r="Q15" s="4">
        <v>39</v>
      </c>
      <c r="R15" s="5" cm="1">
        <f t="array" ref="R15">_xlfn.IFS(Q15/75*100&gt;=90,4,Q15/75*100&gt;=80,3.6,Q15/75*100&gt;=70,3.2,Q15/75*100&gt;=60,2.8,Q15/75*100&gt;=50,2.4,Q15/75*100&gt;=40,2,Q15/75*100&gt;=35,1.6,TRUE, 0)</f>
        <v>2.4</v>
      </c>
      <c r="S15" s="5" t="str" cm="1">
        <f t="array" ref="S15">_xlfn.IFS(R15=4,"A+",R15=3.6,"A",R15=3.2,"B+",R15=2.8,"B",R15=2.4,"C+",R15=2,"C",R15=1.6,"D",TRUE,"NG")</f>
        <v>C+</v>
      </c>
      <c r="T15" s="5" cm="1">
        <f t="array" ref="T15">_xlfn.IFS(Q15&gt;=70,25,Q15&gt;=60,24,Q15&gt;=50,23,Q15&gt;=40,22,Q15&gt;=30,21,TRUE,20)</f>
        <v>21</v>
      </c>
      <c r="U15" s="5" cm="1">
        <f t="array" ref="U15">_xlfn.IFS(T15/25*100&gt;=90,4,T15/25*100&gt;=80,3.6,T15/25*100&gt;=70,3.2,T15/25*100&gt;=60,2.8,T15/25*100&gt;=50,2.4,T15/25*100&gt;=40,2,T15/25*100&gt;=35,1.6,TRUE, 0)</f>
        <v>3.6</v>
      </c>
      <c r="V15" s="5" t="str" cm="1">
        <f t="array" ref="V15">_xlfn.IFS(U15=4,"A+",U15=3.6,"A",U15=3.2,"B+",U15=2.8,"B",U15=2.4,"C+",U15=2,"C",U15=1.6,"D",TRUE,"NG")</f>
        <v>A</v>
      </c>
      <c r="W15" s="5">
        <f t="shared" si="2"/>
        <v>2.6999999999999997</v>
      </c>
      <c r="X15" s="5" t="str" cm="1">
        <f t="array" ref="X15">_xlfn.IFS(AND(W15&lt;=4,W15&gt;3.6),"A+",AND(W15&lt;=3.6,W15&gt;3.2),"A",AND(W15&lt;=3.2,W15&gt;2.8),"B+",AND(W15&lt;=2.8,W15&gt;2.4),"B",AND(W15&lt;=2.4,W15&gt;2),"C+",AND(W15&lt;=2,W15&gt;1.6),"C",W15=1.6,"D",TRUE,"NG")</f>
        <v>B</v>
      </c>
      <c r="Y15" s="4">
        <v>36</v>
      </c>
      <c r="Z15" s="5" cm="1">
        <f t="array" ref="Z15">_xlfn.IFS(Y15/75*100&gt;=90,4,Y15/75*100&gt;=80,3.6,Y15/75*100&gt;=70,3.2,Y15/75*100&gt;=60,2.8,Y15/75*100&gt;=50,2.4,Y15/75*100&gt;=40,2,Y15/75*100&gt;=35,1.6,TRUE, 0)</f>
        <v>2</v>
      </c>
      <c r="AA15" s="5" t="str" cm="1">
        <f t="array" ref="AA15">_xlfn.IFS(Z15=4,"A+",Z15=3.6,"A",Z15=3.2,"B+",Z15=2.8,"B",Z15=2.4,"C+",Z15=2,"C",Z15=1.6,"D",TRUE,"NG")</f>
        <v>C</v>
      </c>
      <c r="AB15" s="4">
        <v>22</v>
      </c>
      <c r="AC15" s="5" cm="1">
        <f t="array" ref="AC15">_xlfn.IFS(AB15/25*100&gt;=90,4,AB15/25*100&gt;=80,3.6,AB15/25*100&gt;=70,3.2,AB15/25*100&gt;=60,2.8,AB15/25*100&gt;=50,2.4,AB15/25*100&gt;=40,2,AB15/25*100&gt;=35,1.6,TRUE, 0)</f>
        <v>3.6</v>
      </c>
      <c r="AD15" s="5" t="str" cm="1">
        <f t="array" ref="AD15">_xlfn.IFS(AC15=4,"A+",AC15=3.6,"A",AC15=3.2,"B+",AC15=2.8,"B",AC15=2.4,"C+",AC15=2,"C",AC15=1.6,"D",TRUE,"NG")</f>
        <v>A</v>
      </c>
      <c r="AE15" s="5">
        <f t="shared" si="3"/>
        <v>2.4</v>
      </c>
      <c r="AF15" s="5" t="str" cm="1">
        <f t="array" ref="AF15">_xlfn.IFS(AND(AE15&lt;=4,AE15&gt;3.6),"A+",AND(AE15&lt;=3.6,AE15&gt;3.2),"A",AND(AE15&lt;=3.2,AE15&gt;2.8),"B+",AND(AE15&lt;=2.8,AE15&gt;2.4),"B",AND(AE15&lt;=2.4,AE15&gt;2),"C+",AND(AE15&lt;=2,AE15&gt;1.6),"C",AE15=1.6,"D",TRUE,"NG")</f>
        <v>C+</v>
      </c>
      <c r="AG15" s="4">
        <v>30</v>
      </c>
      <c r="AH15" s="5" cm="1">
        <f t="array" ref="AH15">_xlfn.IFS(AG15/75*100&gt;=90,4,AG15/75*100&gt;=80,3.6,AG15/75*100&gt;=70,3.2,AG15/75*100&gt;=60,2.8,AG15/75*100&gt;=50,2.4,AG15/75*100&gt;=40,2,AG15/75*100&gt;=35,1.6,TRUE, 0)</f>
        <v>2</v>
      </c>
      <c r="AI15" s="5" t="str" cm="1">
        <f t="array" ref="AI15">_xlfn.IFS(AH15=4,"A+",AH15=3.6,"A",AH15=3.2,"B+",AH15=2.8,"B",AH15=2.4,"C+",AH15=2,"C",AH15=1.6,"D",TRUE,"NG")</f>
        <v>C</v>
      </c>
      <c r="AJ15" s="4">
        <v>22</v>
      </c>
      <c r="AK15" s="5" cm="1">
        <f t="array" ref="AK15">_xlfn.IFS(AJ15/25*100&gt;=90,4,AJ15/25*100&gt;=80,3.6,AJ15/25*100&gt;=70,3.2,AJ15/25*100&gt;=60,2.8,AJ15/25*100&gt;=50,2.4,AJ15/25*100&gt;=40,2,AJ15/25*100&gt;=35,1.6,TRUE, 0)</f>
        <v>3.6</v>
      </c>
      <c r="AL15" s="5" t="str" cm="1">
        <f t="array" ref="AL15">_xlfn.IFS(AK15=4,"A+",AK15=3.6,"A",AK15=3.2,"B+",AK15=2.8,"B",AK15=2.4,"C+",AK15=2,"C",AK15=1.6,"D",TRUE,"NG")</f>
        <v>A</v>
      </c>
      <c r="AM15" s="5">
        <f t="shared" si="4"/>
        <v>2.4</v>
      </c>
      <c r="AN15" s="5" t="str" cm="1">
        <f t="array" ref="AN15">_xlfn.IFS(AND(AM15&lt;=4,AM15&gt;3.6),"A+",AND(AM15&lt;=3.6,AM15&gt;3.2),"A",AND(AM15&lt;=3.2,AM15&gt;2.8),"B+",AND(AM15&lt;=2.8,AM15&gt;2.4),"B",AND(AM15&lt;=2.4,AM15&gt;2),"C+",AND(AM15&lt;=2,AM15&gt;1.6),"C",AM15=1.6,"D",TRUE,"NG")</f>
        <v>C+</v>
      </c>
      <c r="AO15" s="4">
        <v>56</v>
      </c>
      <c r="AP15" s="5" cm="1">
        <f t="array" ref="AP15">_xlfn.IFS(AO15/75*100&gt;=90,4,AO15/75*100&gt;=80,3.6,AO15/75*100&gt;=70,3.2,AO15/75*100&gt;=60,2.8,AO15/75*100&gt;=50,2.4,AO15/75*100&gt;=40,2,AO15/75*100&gt;=35,1.6,TRUE, 0)</f>
        <v>3.2</v>
      </c>
      <c r="AQ15" s="5" t="str" cm="1">
        <f t="array" ref="AQ15">_xlfn.IFS(AP15=4,"A+",AP15=3.6,"A",AP15=3.2,"B+",AP15=2.8,"B",AP15=2.4,"C+",AP15=2,"C",AP15=1.6,"D",TRUE,"NG")</f>
        <v>B+</v>
      </c>
      <c r="AR15" s="5" cm="1">
        <f t="array" ref="AR15">_xlfn.IFS(AO15&gt;=70,25,AO15&gt;=60,24,AO15&gt;=50,23,AO15&gt;=40,22,AO15&gt;=30,21,TRUE,20)</f>
        <v>23</v>
      </c>
      <c r="AS15" s="5" cm="1">
        <f t="array" ref="AS15">_xlfn.IFS(AR15/25*100&gt;=90,4,AR15/25*100&gt;=80,3.6,AR15/25*100&gt;=70,3.2,AR15/25*100&gt;=60,2.8,AR15/25*100&gt;=50,2.4,AR15/25*100&gt;=40,2,AR15/25*100&gt;=35,1.6,TRUE, 0)</f>
        <v>4</v>
      </c>
      <c r="AT15" s="5" t="str" cm="1">
        <f t="array" ref="AT15">_xlfn.IFS(AS15=4,"A+",AS15=3.6,"A",AS15=3.2,"B+",AS15=2.8,"B",AS15=2.4,"C+",AS15=2,"C",AS15=1.6,"D",TRUE,"NG")</f>
        <v>A+</v>
      </c>
      <c r="AU15" s="5">
        <f t="shared" si="5"/>
        <v>3.4</v>
      </c>
      <c r="AV15" s="5" t="str" cm="1">
        <f t="array" ref="AV15">_xlfn.IFS(AND(AU15&lt;=4,AU15&gt;3.6),"A+",AND(AU15&lt;=3.6,AU15&gt;3.2),"A",AND(AU15&lt;=3.2,AU15&gt;2.8),"B+",AND(AU15&lt;=2.8,AU15&gt;2.4),"B",AND(AU15&lt;=2.4,AU15&gt;2),"C+",AND(AU15&lt;=2,AU15&gt;1.6),"C",AU15=1.6,"D",TRUE,"NG")</f>
        <v>A</v>
      </c>
      <c r="AW15" s="4" t="s">
        <v>63</v>
      </c>
      <c r="AX15" s="5" t="str" cm="1">
        <f t="array" ref="AX15">_xlfn.IFS(AW15="-","-",AW15/75*100&gt;=90,4,AW15/75*100&gt;=80,3.6,AW15/75*100&gt;=70,3.2,AW15/75*100&gt;=60,2.8,AW15/75*100&gt;=50,2.4,AW15/75*100&gt;=40,2,AW15/75*100&gt;=35,1.6,TRUE, 0)</f>
        <v>-</v>
      </c>
      <c r="AY15" s="5" t="str" cm="1">
        <f t="array" ref="AY15">_xlfn.IFS(AX15="-","-",AX15=4,"A+",AX15=3.6,"A",AX15=3.2,"B+",AX15=2.8,"B",AX15=2.4,"C+",AX15=2,"C",AX15=1.6,"D",TRUE,"NG")</f>
        <v>-</v>
      </c>
      <c r="AZ15" s="4" t="s">
        <v>63</v>
      </c>
      <c r="BA15" s="5" t="str" cm="1">
        <f t="array" ref="BA15">_xlfn.IFS(AZ15="-","-",AZ15/25*100&gt;=90,4,AZ15/25*100&gt;=80,3.6,AZ15/25*100&gt;=70,3.2,AZ15/25*100&gt;=60,2.8,AZ15/25*100&gt;=50,2.4,AZ15/25*100&gt;=40,2,AZ15/25*100&gt;=35,1.6,TRUE, 0)</f>
        <v>-</v>
      </c>
      <c r="BB15" s="5" t="str" cm="1">
        <f t="array" ref="BB15">_xlfn.IFS(BA15="-","-",BA15=4,"A+",BA15=3.6,"A",BA15=3.2,"B+",BA15=2.8,"B",BA15=2.4,"C+",BA15=2,"C",BA15=1.6,"D",TRUE,"NG")</f>
        <v>-</v>
      </c>
      <c r="BC15" s="5" t="str">
        <f t="shared" si="6"/>
        <v>-</v>
      </c>
      <c r="BD15" s="5" t="str" cm="1">
        <f t="array" ref="BD15">_xlfn.IFS(BC15="-","-",AND(BC15&lt;=4,BC15&gt;3.6),"A+",AND(BC15&lt;=3.6,BC15&gt;3.2),"A",AND(BC15&lt;=3.2,BC15&gt;2.8),"B+",AND(BC15&lt;=2.8,BC15&gt;2.4),"B",AND(BC15&lt;=2.4,BC15&gt;2),"C+",AND(BC15&lt;=2,BC15&gt;1.6),"C",BC15=1.6,"D",TRUE,"NG")</f>
        <v>-</v>
      </c>
      <c r="BE15" s="4">
        <v>41</v>
      </c>
      <c r="BF15" cm="1">
        <f t="array" ref="BF15">_xlfn.IFS(BE15="-","-",BE15/50*100&gt;=90,4,BE15/50*100&gt;=80,3.6,BE15/50*100&gt;=70,3.2,BE15/50*100&gt;=60,2.8,BE15/50*100&gt;=50,2.4,BE15/50*100&gt;=40,2,BE15/50*100&gt;=35,1.6,TRUE, 0)</f>
        <v>3.6</v>
      </c>
      <c r="BG15" t="str" cm="1">
        <f t="array" ref="BG15">_xlfn.IFS(BF15="-","-",BF15=4,"A+",BF15=3.6,"A",BF15=3.2,"B+",BF15=2.8,"B",BF15=2.4,"C+",BF15=2,"C",BF15=1.6,"D",TRUE,"NG")</f>
        <v>A</v>
      </c>
      <c r="BH15" s="4">
        <v>46</v>
      </c>
      <c r="BI15" cm="1">
        <f t="array" ref="BI15">_xlfn.IFS(BH15="-","-",BH15/50*100&gt;=90,4,BH15/50*100&gt;=80,3.6,BH15/50*100&gt;=70,3.2,BH15/50*100&gt;=60,2.8,BH15/50*100&gt;=50,2.4,BH15/50*100&gt;=40,2,BH15/50*100&gt;=35,1.6,TRUE, 0)</f>
        <v>4</v>
      </c>
      <c r="BJ15" t="str" cm="1">
        <f t="array" ref="BJ15">_xlfn.IFS(BI15="-","-",BI15=4,"A+",BI15=3.6,"A",BI15=3.2,"B+",BI15=2.8,"B",BI15=2.4,"C+",BI15=2,"C",BI15=1.6,"D",TRUE,"NG")</f>
        <v>A+</v>
      </c>
      <c r="BK15">
        <f t="shared" si="7"/>
        <v>3.8</v>
      </c>
      <c r="BL15" t="str" cm="1">
        <f t="array" ref="BL15">_xlfn.IFS(BK15="-","-",AND(BK15&lt;=4,BK15&gt;3.6),"A+",AND(BK15&lt;=3.6,BK15&gt;3.2),"A",AND(BK15&lt;=3.2,BK15&gt;2.8),"B+",AND(BK15&lt;=2.8,BK15&gt;2.4),"B",AND(BK15&lt;=2.4,BK15&gt;2),"C+",AND(BK15&lt;=2,BK15&gt;1.6),"C",BK15=1.6,"D",TRUE,"NG")</f>
        <v>A+</v>
      </c>
      <c r="BM15" s="9" cm="1">
        <f t="array" ref="BM15">_xlfn.IFS(AW15&lt;&gt;"-",((J15*3+M15*1)+(R15*2.25+U15*0.75)+(Z15*3.75+AC15*1.25)+(AH15*3.75+AK15*1.25)+(AP15*3.75+AS15*1.25)+(AX15*3.75+BA15*1.25))/(4+3+5*4),BE15&lt;&gt;"-",((J15*3+M15*1)+(R15*2.25+U15*0.75)+(Z15*3.75+AC15*1.25)+(AH15*3.75+AK15*1.25)+(AP15*3.75+AS15*1.25)+(BF15*2.5+BI15*2.5))/(4+3+5*4))</f>
        <v>2.9666666666666663</v>
      </c>
    </row>
    <row r="16" spans="1:65" x14ac:dyDescent="0.3">
      <c r="A16" s="2">
        <v>115</v>
      </c>
      <c r="B16" s="12">
        <v>793270280031</v>
      </c>
      <c r="C16" s="13">
        <v>12706882</v>
      </c>
      <c r="D16" s="14" t="s">
        <v>81</v>
      </c>
      <c r="E16" s="3" t="s">
        <v>62</v>
      </c>
      <c r="F16" s="15">
        <v>59409</v>
      </c>
      <c r="G16" s="3" t="str">
        <f t="shared" si="0"/>
        <v>2062/08/26</v>
      </c>
      <c r="H16" s="3" t="str" cm="1">
        <f t="array" ref="H16">[1]!bs2ad(G16)</f>
        <v>2005-12-11</v>
      </c>
      <c r="I16" s="4">
        <v>48</v>
      </c>
      <c r="J16" s="5" cm="1">
        <f t="array" ref="J16">_xlfn.IFS(I16/75*100&gt;=90,4,I16/75*100&gt;=80,3.6,I16/75*100&gt;=70,3.2,I16/75*100&gt;=60,2.8,I16/75*100&gt;=50,2.4,I16/75*100&gt;=40,2,I16/75*100&gt;=35,1.6,TRUE, 0)</f>
        <v>2.8</v>
      </c>
      <c r="K16" s="5" t="str" cm="1">
        <f t="array" ref="K16">_xlfn.IFS(J16=4,"A+",J16=3.6,"A",J16=3.2,"B+",J16=2.8,"B",J16=2.4,"C+",J16=2,"C",J16=1.6,"D",TRUE,"NG")</f>
        <v>B</v>
      </c>
      <c r="L16" s="4">
        <v>24</v>
      </c>
      <c r="M16" s="5" cm="1">
        <f t="array" ref="M16">_xlfn.IFS(L16/25*100&gt;=90,4,L16/25*100&gt;=80,3.6,L16/25*100&gt;=70,3.2,L16/25*100&gt;=60,2.8,L16/25*100&gt;=50,2.4,L16/25*100&gt;=40,2,L16/25*100&gt;=35,1.6,TRUE, 0)</f>
        <v>4</v>
      </c>
      <c r="N16" s="5" t="str" cm="1">
        <f t="array" ref="N16">_xlfn.IFS(M16=4,"A+",M16=3.6,"A",M16=3.2,"B+",M16=2.8,"B",M16=2.4,"C+",M16=2,"C",M16=1.6,"D",TRUE,"NG")</f>
        <v>A+</v>
      </c>
      <c r="O16" s="5">
        <f t="shared" si="1"/>
        <v>3.0999999999999996</v>
      </c>
      <c r="P16" s="5" t="str" cm="1">
        <f t="array" ref="P16">_xlfn.IFS(AND(O16&lt;=4,O16&gt;3.6),"A+",AND(O16&lt;=3.6,O16&gt;3.2),"A",AND(O16&lt;=3.2,O16&gt;2.8),"B+",AND(O16&lt;=2.8,O16&gt;2.4),"B",AND(O16&lt;=2.4,O16&gt;2),"C+",AND(O16&lt;=2,O16&gt;1.6),"C",O16=1.6,"D",TRUE,"NG")</f>
        <v>B+</v>
      </c>
      <c r="Q16" s="4">
        <v>37</v>
      </c>
      <c r="R16" s="5" cm="1">
        <f t="array" ref="R16">_xlfn.IFS(Q16/75*100&gt;=90,4,Q16/75*100&gt;=80,3.6,Q16/75*100&gt;=70,3.2,Q16/75*100&gt;=60,2.8,Q16/75*100&gt;=50,2.4,Q16/75*100&gt;=40,2,Q16/75*100&gt;=35,1.6,TRUE, 0)</f>
        <v>2</v>
      </c>
      <c r="S16" s="5" t="str" cm="1">
        <f t="array" ref="S16">_xlfn.IFS(R16=4,"A+",R16=3.6,"A",R16=3.2,"B+",R16=2.8,"B",R16=2.4,"C+",R16=2,"C",R16=1.6,"D",TRUE,"NG")</f>
        <v>C</v>
      </c>
      <c r="T16" s="5" cm="1">
        <f t="array" ref="T16">_xlfn.IFS(Q16&gt;=70,25,Q16&gt;=60,24,Q16&gt;=50,23,Q16&gt;=40,22,Q16&gt;=30,21,TRUE,20)</f>
        <v>21</v>
      </c>
      <c r="U16" s="5" cm="1">
        <f t="array" ref="U16">_xlfn.IFS(T16/25*100&gt;=90,4,T16/25*100&gt;=80,3.6,T16/25*100&gt;=70,3.2,T16/25*100&gt;=60,2.8,T16/25*100&gt;=50,2.4,T16/25*100&gt;=40,2,T16/25*100&gt;=35,1.6,TRUE, 0)</f>
        <v>3.6</v>
      </c>
      <c r="V16" s="5" t="str" cm="1">
        <f t="array" ref="V16">_xlfn.IFS(U16=4,"A+",U16=3.6,"A",U16=3.2,"B+",U16=2.8,"B",U16=2.4,"C+",U16=2,"C",U16=1.6,"D",TRUE,"NG")</f>
        <v>A</v>
      </c>
      <c r="W16" s="5">
        <f t="shared" si="2"/>
        <v>2.4</v>
      </c>
      <c r="X16" s="5" t="str" cm="1">
        <f t="array" ref="X16">_xlfn.IFS(AND(W16&lt;=4,W16&gt;3.6),"A+",AND(W16&lt;=3.6,W16&gt;3.2),"A",AND(W16&lt;=3.2,W16&gt;2.8),"B+",AND(W16&lt;=2.8,W16&gt;2.4),"B",AND(W16&lt;=2.4,W16&gt;2),"C+",AND(W16&lt;=2,W16&gt;1.6),"C",W16=1.6,"D",TRUE,"NG")</f>
        <v>C+</v>
      </c>
      <c r="Y16" s="4">
        <v>27</v>
      </c>
      <c r="Z16" s="5" cm="1">
        <f t="array" ref="Z16">_xlfn.IFS(Y16/75*100&gt;=90,4,Y16/75*100&gt;=80,3.6,Y16/75*100&gt;=70,3.2,Y16/75*100&gt;=60,2.8,Y16/75*100&gt;=50,2.4,Y16/75*100&gt;=40,2,Y16/75*100&gt;=35,1.6,TRUE, 0)</f>
        <v>1.6</v>
      </c>
      <c r="AA16" s="5" t="str" cm="1">
        <f t="array" ref="AA16">_xlfn.IFS(Z16=4,"A+",Z16=3.6,"A",Z16=3.2,"B+",Z16=2.8,"B",Z16=2.4,"C+",Z16=2,"C",Z16=1.6,"D",TRUE,"NG")</f>
        <v>D</v>
      </c>
      <c r="AB16" s="4">
        <v>23</v>
      </c>
      <c r="AC16" s="5" cm="1">
        <f t="array" ref="AC16">_xlfn.IFS(AB16/25*100&gt;=90,4,AB16/25*100&gt;=80,3.6,AB16/25*100&gt;=70,3.2,AB16/25*100&gt;=60,2.8,AB16/25*100&gt;=50,2.4,AB16/25*100&gt;=40,2,AB16/25*100&gt;=35,1.6,TRUE, 0)</f>
        <v>4</v>
      </c>
      <c r="AD16" s="5" t="str" cm="1">
        <f t="array" ref="AD16">_xlfn.IFS(AC16=4,"A+",AC16=3.6,"A",AC16=3.2,"B+",AC16=2.8,"B",AC16=2.4,"C+",AC16=2,"C",AC16=1.6,"D",TRUE,"NG")</f>
        <v>A+</v>
      </c>
      <c r="AE16" s="5">
        <f t="shared" si="3"/>
        <v>2.2000000000000002</v>
      </c>
      <c r="AF16" s="5" t="str" cm="1">
        <f t="array" ref="AF16">_xlfn.IFS(AND(AE16&lt;=4,AE16&gt;3.6),"A+",AND(AE16&lt;=3.6,AE16&gt;3.2),"A",AND(AE16&lt;=3.2,AE16&gt;2.8),"B+",AND(AE16&lt;=2.8,AE16&gt;2.4),"B",AND(AE16&lt;=2.4,AE16&gt;2),"C+",AND(AE16&lt;=2,AE16&gt;1.6),"C",AE16=1.6,"D",TRUE,"NG")</f>
        <v>C+</v>
      </c>
      <c r="AG16" s="4">
        <v>36</v>
      </c>
      <c r="AH16" s="5" cm="1">
        <f t="array" ref="AH16">_xlfn.IFS(AG16/75*100&gt;=90,4,AG16/75*100&gt;=80,3.6,AG16/75*100&gt;=70,3.2,AG16/75*100&gt;=60,2.8,AG16/75*100&gt;=50,2.4,AG16/75*100&gt;=40,2,AG16/75*100&gt;=35,1.6,TRUE, 0)</f>
        <v>2</v>
      </c>
      <c r="AI16" s="5" t="str" cm="1">
        <f t="array" ref="AI16">_xlfn.IFS(AH16=4,"A+",AH16=3.6,"A",AH16=3.2,"B+",AH16=2.8,"B",AH16=2.4,"C+",AH16=2,"C",AH16=1.6,"D",TRUE,"NG")</f>
        <v>C</v>
      </c>
      <c r="AJ16" s="4">
        <v>23</v>
      </c>
      <c r="AK16" s="5" cm="1">
        <f t="array" ref="AK16">_xlfn.IFS(AJ16/25*100&gt;=90,4,AJ16/25*100&gt;=80,3.6,AJ16/25*100&gt;=70,3.2,AJ16/25*100&gt;=60,2.8,AJ16/25*100&gt;=50,2.4,AJ16/25*100&gt;=40,2,AJ16/25*100&gt;=35,1.6,TRUE, 0)</f>
        <v>4</v>
      </c>
      <c r="AL16" s="5" t="str" cm="1">
        <f t="array" ref="AL16">_xlfn.IFS(AK16=4,"A+",AK16=3.6,"A",AK16=3.2,"B+",AK16=2.8,"B",AK16=2.4,"C+",AK16=2,"C",AK16=1.6,"D",TRUE,"NG")</f>
        <v>A+</v>
      </c>
      <c r="AM16" s="5">
        <f t="shared" si="4"/>
        <v>2.5</v>
      </c>
      <c r="AN16" s="5" t="str" cm="1">
        <f t="array" ref="AN16">_xlfn.IFS(AND(AM16&lt;=4,AM16&gt;3.6),"A+",AND(AM16&lt;=3.6,AM16&gt;3.2),"A",AND(AM16&lt;=3.2,AM16&gt;2.8),"B+",AND(AM16&lt;=2.8,AM16&gt;2.4),"B",AND(AM16&lt;=2.4,AM16&gt;2),"C+",AND(AM16&lt;=2,AM16&gt;1.6),"C",AM16=1.6,"D",TRUE,"NG")</f>
        <v>B</v>
      </c>
      <c r="AO16" s="4">
        <v>57</v>
      </c>
      <c r="AP16" s="5" cm="1">
        <f t="array" ref="AP16">_xlfn.IFS(AO16/75*100&gt;=90,4,AO16/75*100&gt;=80,3.6,AO16/75*100&gt;=70,3.2,AO16/75*100&gt;=60,2.8,AO16/75*100&gt;=50,2.4,AO16/75*100&gt;=40,2,AO16/75*100&gt;=35,1.6,TRUE, 0)</f>
        <v>3.2</v>
      </c>
      <c r="AQ16" s="5" t="str" cm="1">
        <f t="array" ref="AQ16">_xlfn.IFS(AP16=4,"A+",AP16=3.6,"A",AP16=3.2,"B+",AP16=2.8,"B",AP16=2.4,"C+",AP16=2,"C",AP16=1.6,"D",TRUE,"NG")</f>
        <v>B+</v>
      </c>
      <c r="AR16" s="5" cm="1">
        <f t="array" ref="AR16">_xlfn.IFS(AO16&gt;=70,25,AO16&gt;=60,24,AO16&gt;=50,23,AO16&gt;=40,22,AO16&gt;=30,21,TRUE,20)</f>
        <v>23</v>
      </c>
      <c r="AS16" s="5" cm="1">
        <f t="array" ref="AS16">_xlfn.IFS(AR16/25*100&gt;=90,4,AR16/25*100&gt;=80,3.6,AR16/25*100&gt;=70,3.2,AR16/25*100&gt;=60,2.8,AR16/25*100&gt;=50,2.4,AR16/25*100&gt;=40,2,AR16/25*100&gt;=35,1.6,TRUE, 0)</f>
        <v>4</v>
      </c>
      <c r="AT16" s="5" t="str" cm="1">
        <f t="array" ref="AT16">_xlfn.IFS(AS16=4,"A+",AS16=3.6,"A",AS16=3.2,"B+",AS16=2.8,"B",AS16=2.4,"C+",AS16=2,"C",AS16=1.6,"D",TRUE,"NG")</f>
        <v>A+</v>
      </c>
      <c r="AU16" s="5">
        <f t="shared" si="5"/>
        <v>3.4</v>
      </c>
      <c r="AV16" s="5" t="str" cm="1">
        <f t="array" ref="AV16">_xlfn.IFS(AND(AU16&lt;=4,AU16&gt;3.6),"A+",AND(AU16&lt;=3.6,AU16&gt;3.2),"A",AND(AU16&lt;=3.2,AU16&gt;2.8),"B+",AND(AU16&lt;=2.8,AU16&gt;2.4),"B",AND(AU16&lt;=2.4,AU16&gt;2),"C+",AND(AU16&lt;=2,AU16&gt;1.6),"C",AU16=1.6,"D",TRUE,"NG")</f>
        <v>A</v>
      </c>
      <c r="AW16" s="4" t="s">
        <v>63</v>
      </c>
      <c r="AX16" s="5" t="str" cm="1">
        <f t="array" ref="AX16">_xlfn.IFS(AW16="-","-",AW16/75*100&gt;=90,4,AW16/75*100&gt;=80,3.6,AW16/75*100&gt;=70,3.2,AW16/75*100&gt;=60,2.8,AW16/75*100&gt;=50,2.4,AW16/75*100&gt;=40,2,AW16/75*100&gt;=35,1.6,TRUE, 0)</f>
        <v>-</v>
      </c>
      <c r="AY16" s="5" t="str" cm="1">
        <f t="array" ref="AY16">_xlfn.IFS(AX16="-","-",AX16=4,"A+",AX16=3.6,"A",AX16=3.2,"B+",AX16=2.8,"B",AX16=2.4,"C+",AX16=2,"C",AX16=1.6,"D",TRUE,"NG")</f>
        <v>-</v>
      </c>
      <c r="AZ16" s="4" t="s">
        <v>63</v>
      </c>
      <c r="BA16" s="5" t="str" cm="1">
        <f t="array" ref="BA16">_xlfn.IFS(AZ16="-","-",AZ16/25*100&gt;=90,4,AZ16/25*100&gt;=80,3.6,AZ16/25*100&gt;=70,3.2,AZ16/25*100&gt;=60,2.8,AZ16/25*100&gt;=50,2.4,AZ16/25*100&gt;=40,2,AZ16/25*100&gt;=35,1.6,TRUE, 0)</f>
        <v>-</v>
      </c>
      <c r="BB16" s="5" t="str" cm="1">
        <f t="array" ref="BB16">_xlfn.IFS(BA16="-","-",BA16=4,"A+",BA16=3.6,"A",BA16=3.2,"B+",BA16=2.8,"B",BA16=2.4,"C+",BA16=2,"C",BA16=1.6,"D",TRUE,"NG")</f>
        <v>-</v>
      </c>
      <c r="BC16" s="5" t="str">
        <f t="shared" si="6"/>
        <v>-</v>
      </c>
      <c r="BD16" s="5" t="str" cm="1">
        <f t="array" ref="BD16">_xlfn.IFS(BC16="-","-",AND(BC16&lt;=4,BC16&gt;3.6),"A+",AND(BC16&lt;=3.6,BC16&gt;3.2),"A",AND(BC16&lt;=3.2,BC16&gt;2.8),"B+",AND(BC16&lt;=2.8,BC16&gt;2.4),"B",AND(BC16&lt;=2.4,BC16&gt;2),"C+",AND(BC16&lt;=2,BC16&gt;1.6),"C",BC16=1.6,"D",TRUE,"NG")</f>
        <v>-</v>
      </c>
      <c r="BE16" s="4">
        <v>27</v>
      </c>
      <c r="BF16" cm="1">
        <f t="array" ref="BF16">_xlfn.IFS(BE16="-","-",BE16/50*100&gt;=90,4,BE16/50*100&gt;=80,3.6,BE16/50*100&gt;=70,3.2,BE16/50*100&gt;=60,2.8,BE16/50*100&gt;=50,2.4,BE16/50*100&gt;=40,2,BE16/50*100&gt;=35,1.6,TRUE, 0)</f>
        <v>2.4</v>
      </c>
      <c r="BG16" t="str" cm="1">
        <f t="array" ref="BG16">_xlfn.IFS(BF16="-","-",BF16=4,"A+",BF16=3.6,"A",BF16=3.2,"B+",BF16=2.8,"B",BF16=2.4,"C+",BF16=2,"C",BF16=1.6,"D",TRUE,"NG")</f>
        <v>C+</v>
      </c>
      <c r="BH16" s="4">
        <v>43</v>
      </c>
      <c r="BI16" cm="1">
        <f t="array" ref="BI16">_xlfn.IFS(BH16="-","-",BH16/50*100&gt;=90,4,BH16/50*100&gt;=80,3.6,BH16/50*100&gt;=70,3.2,BH16/50*100&gt;=60,2.8,BH16/50*100&gt;=50,2.4,BH16/50*100&gt;=40,2,BH16/50*100&gt;=35,1.6,TRUE, 0)</f>
        <v>3.6</v>
      </c>
      <c r="BJ16" t="str" cm="1">
        <f t="array" ref="BJ16">_xlfn.IFS(BI16="-","-",BI16=4,"A+",BI16=3.6,"A",BI16=3.2,"B+",BI16=2.8,"B",BI16=2.4,"C+",BI16=2,"C",BI16=1.6,"D",TRUE,"NG")</f>
        <v>A</v>
      </c>
      <c r="BK16">
        <f t="shared" si="7"/>
        <v>3</v>
      </c>
      <c r="BL16" t="str" cm="1">
        <f t="array" ref="BL16">_xlfn.IFS(BK16="-","-",AND(BK16&lt;=4,BK16&gt;3.6),"A+",AND(BK16&lt;=3.6,BK16&gt;3.2),"A",AND(BK16&lt;=3.2,BK16&gt;2.8),"B+",AND(BK16&lt;=2.8,BK16&gt;2.4),"B",AND(BK16&lt;=2.4,BK16&gt;2),"C+",AND(BK16&lt;=2,BK16&gt;1.6),"C",BK16=1.6,"D",TRUE,"NG")</f>
        <v>B+</v>
      </c>
      <c r="BM16" s="9" cm="1">
        <f t="array" ref="BM16">_xlfn.IFS(AW16&lt;&gt;"-",((J16*3+M16*1)+(R16*2.25+U16*0.75)+(Z16*3.75+AC16*1.25)+(AH16*3.75+AK16*1.25)+(AP16*3.75+AS16*1.25)+(AX16*3.75+BA16*1.25))/(4+3+5*4),BE16&lt;&gt;"-",((J16*3+M16*1)+(R16*2.25+U16*0.75)+(Z16*3.75+AC16*1.25)+(AH16*3.75+AK16*1.25)+(AP16*3.75+AS16*1.25)+(BF16*2.5+BI16*2.5))/(4+3+5*4))</f>
        <v>2.7814814814814812</v>
      </c>
    </row>
    <row r="17" spans="1:65" x14ac:dyDescent="0.3">
      <c r="A17" s="2">
        <v>116</v>
      </c>
      <c r="B17" s="12">
        <v>793270280032</v>
      </c>
      <c r="C17" s="13">
        <v>12706883</v>
      </c>
      <c r="D17" s="14" t="s">
        <v>82</v>
      </c>
      <c r="E17" s="3" t="s">
        <v>64</v>
      </c>
      <c r="F17" s="15">
        <v>58686</v>
      </c>
      <c r="G17" s="3" t="str">
        <f t="shared" si="0"/>
        <v>2060/09/02</v>
      </c>
      <c r="H17" s="3" t="str" cm="1">
        <f t="array" ref="H17">[1]!bs2ad(G17)</f>
        <v>2003-12-17</v>
      </c>
      <c r="I17" s="4">
        <v>45</v>
      </c>
      <c r="J17" s="5" cm="1">
        <f t="array" ref="J17">_xlfn.IFS(I17/75*100&gt;=90,4,I17/75*100&gt;=80,3.6,I17/75*100&gt;=70,3.2,I17/75*100&gt;=60,2.8,I17/75*100&gt;=50,2.4,I17/75*100&gt;=40,2,I17/75*100&gt;=35,1.6,TRUE, 0)</f>
        <v>2.8</v>
      </c>
      <c r="K17" s="5" t="str" cm="1">
        <f t="array" ref="K17">_xlfn.IFS(J17=4,"A+",J17=3.6,"A",J17=3.2,"B+",J17=2.8,"B",J17=2.4,"C+",J17=2,"C",J17=1.6,"D",TRUE,"NG")</f>
        <v>B</v>
      </c>
      <c r="L17" s="4">
        <v>23</v>
      </c>
      <c r="M17" s="5" cm="1">
        <f t="array" ref="M17">_xlfn.IFS(L17/25*100&gt;=90,4,L17/25*100&gt;=80,3.6,L17/25*100&gt;=70,3.2,L17/25*100&gt;=60,2.8,L17/25*100&gt;=50,2.4,L17/25*100&gt;=40,2,L17/25*100&gt;=35,1.6,TRUE, 0)</f>
        <v>4</v>
      </c>
      <c r="N17" s="5" t="str" cm="1">
        <f t="array" ref="N17">_xlfn.IFS(M17=4,"A+",M17=3.6,"A",M17=3.2,"B+",M17=2.8,"B",M17=2.4,"C+",M17=2,"C",M17=1.6,"D",TRUE,"NG")</f>
        <v>A+</v>
      </c>
      <c r="O17" s="5">
        <f t="shared" si="1"/>
        <v>3.0999999999999996</v>
      </c>
      <c r="P17" s="5" t="str" cm="1">
        <f t="array" ref="P17">_xlfn.IFS(AND(O17&lt;=4,O17&gt;3.6),"A+",AND(O17&lt;=3.6,O17&gt;3.2),"A",AND(O17&lt;=3.2,O17&gt;2.8),"B+",AND(O17&lt;=2.8,O17&gt;2.4),"B",AND(O17&lt;=2.4,O17&gt;2),"C+",AND(O17&lt;=2,O17&gt;1.6),"C",O17=1.6,"D",TRUE,"NG")</f>
        <v>B+</v>
      </c>
      <c r="Q17" s="4">
        <v>23</v>
      </c>
      <c r="R17" s="5" cm="1">
        <f t="array" ref="R17">_xlfn.IFS(Q17/75*100&gt;=90,4,Q17/75*100&gt;=80,3.6,Q17/75*100&gt;=70,3.2,Q17/75*100&gt;=60,2.8,Q17/75*100&gt;=50,2.4,Q17/75*100&gt;=40,2,Q17/75*100&gt;=35,1.6,TRUE, 0)</f>
        <v>0</v>
      </c>
      <c r="S17" s="5" t="str" cm="1">
        <f t="array" ref="S17">_xlfn.IFS(R17=4,"A+",R17=3.6,"A",R17=3.2,"B+",R17=2.8,"B",R17=2.4,"C+",R17=2,"C",R17=1.6,"D",TRUE,"NG")</f>
        <v>NG</v>
      </c>
      <c r="T17" s="5" cm="1">
        <f t="array" ref="T17">_xlfn.IFS(Q17&gt;=70,25,Q17&gt;=60,24,Q17&gt;=50,23,Q17&gt;=40,22,Q17&gt;=30,21,TRUE,20)</f>
        <v>20</v>
      </c>
      <c r="U17" s="5" cm="1">
        <f t="array" ref="U17">_xlfn.IFS(T17/25*100&gt;=90,4,T17/25*100&gt;=80,3.6,T17/25*100&gt;=70,3.2,T17/25*100&gt;=60,2.8,T17/25*100&gt;=50,2.4,T17/25*100&gt;=40,2,T17/25*100&gt;=35,1.6,TRUE, 0)</f>
        <v>3.6</v>
      </c>
      <c r="V17" s="5" t="str" cm="1">
        <f t="array" ref="V17">_xlfn.IFS(U17=4,"A+",U17=3.6,"A",U17=3.2,"B+",U17=2.8,"B",U17=2.4,"C+",U17=2,"C",U17=1.6,"D",TRUE,"NG")</f>
        <v>A</v>
      </c>
      <c r="W17" s="5">
        <f t="shared" si="2"/>
        <v>0.9</v>
      </c>
      <c r="X17" s="5" t="str" cm="1">
        <f t="array" ref="X17">_xlfn.IFS(AND(W17&lt;=4,W17&gt;3.6),"A+",AND(W17&lt;=3.6,W17&gt;3.2),"A",AND(W17&lt;=3.2,W17&gt;2.8),"B+",AND(W17&lt;=2.8,W17&gt;2.4),"B",AND(W17&lt;=2.4,W17&gt;2),"C+",AND(W17&lt;=2,W17&gt;1.6),"C",W17=1.6,"D",TRUE,"NG")</f>
        <v>NG</v>
      </c>
      <c r="Y17" s="4">
        <v>30</v>
      </c>
      <c r="Z17" s="5" cm="1">
        <f t="array" ref="Z17">_xlfn.IFS(Y17/75*100&gt;=90,4,Y17/75*100&gt;=80,3.6,Y17/75*100&gt;=70,3.2,Y17/75*100&gt;=60,2.8,Y17/75*100&gt;=50,2.4,Y17/75*100&gt;=40,2,Y17/75*100&gt;=35,1.6,TRUE, 0)</f>
        <v>2</v>
      </c>
      <c r="AA17" s="5" t="str" cm="1">
        <f t="array" ref="AA17">_xlfn.IFS(Z17=4,"A+",Z17=3.6,"A",Z17=3.2,"B+",Z17=2.8,"B",Z17=2.4,"C+",Z17=2,"C",Z17=1.6,"D",TRUE,"NG")</f>
        <v>C</v>
      </c>
      <c r="AB17" s="4">
        <v>22</v>
      </c>
      <c r="AC17" s="5" cm="1">
        <f t="array" ref="AC17">_xlfn.IFS(AB17/25*100&gt;=90,4,AB17/25*100&gt;=80,3.6,AB17/25*100&gt;=70,3.2,AB17/25*100&gt;=60,2.8,AB17/25*100&gt;=50,2.4,AB17/25*100&gt;=40,2,AB17/25*100&gt;=35,1.6,TRUE, 0)</f>
        <v>3.6</v>
      </c>
      <c r="AD17" s="5" t="str" cm="1">
        <f t="array" ref="AD17">_xlfn.IFS(AC17=4,"A+",AC17=3.6,"A",AC17=3.2,"B+",AC17=2.8,"B",AC17=2.4,"C+",AC17=2,"C",AC17=1.6,"D",TRUE,"NG")</f>
        <v>A</v>
      </c>
      <c r="AE17" s="5">
        <f t="shared" si="3"/>
        <v>2.4</v>
      </c>
      <c r="AF17" s="5" t="str" cm="1">
        <f t="array" ref="AF17">_xlfn.IFS(AND(AE17&lt;=4,AE17&gt;3.6),"A+",AND(AE17&lt;=3.6,AE17&gt;3.2),"A",AND(AE17&lt;=3.2,AE17&gt;2.8),"B+",AND(AE17&lt;=2.8,AE17&gt;2.4),"B",AND(AE17&lt;=2.4,AE17&gt;2),"C+",AND(AE17&lt;=2,AE17&gt;1.6),"C",AE17=1.6,"D",TRUE,"NG")</f>
        <v>C+</v>
      </c>
      <c r="AG17" s="4">
        <v>12</v>
      </c>
      <c r="AH17" s="5" cm="1">
        <f t="array" ref="AH17">_xlfn.IFS(AG17/75*100&gt;=90,4,AG17/75*100&gt;=80,3.6,AG17/75*100&gt;=70,3.2,AG17/75*100&gt;=60,2.8,AG17/75*100&gt;=50,2.4,AG17/75*100&gt;=40,2,AG17/75*100&gt;=35,1.6,TRUE, 0)</f>
        <v>0</v>
      </c>
      <c r="AI17" s="5" t="str" cm="1">
        <f t="array" ref="AI17">_xlfn.IFS(AH17=4,"A+",AH17=3.6,"A",AH17=3.2,"B+",AH17=2.8,"B",AH17=2.4,"C+",AH17=2,"C",AH17=1.6,"D",TRUE,"NG")</f>
        <v>NG</v>
      </c>
      <c r="AJ17" s="4">
        <v>22</v>
      </c>
      <c r="AK17" s="5" cm="1">
        <f t="array" ref="AK17">_xlfn.IFS(AJ17/25*100&gt;=90,4,AJ17/25*100&gt;=80,3.6,AJ17/25*100&gt;=70,3.2,AJ17/25*100&gt;=60,2.8,AJ17/25*100&gt;=50,2.4,AJ17/25*100&gt;=40,2,AJ17/25*100&gt;=35,1.6,TRUE, 0)</f>
        <v>3.6</v>
      </c>
      <c r="AL17" s="5" t="str" cm="1">
        <f t="array" ref="AL17">_xlfn.IFS(AK17=4,"A+",AK17=3.6,"A",AK17=3.2,"B+",AK17=2.8,"B",AK17=2.4,"C+",AK17=2,"C",AK17=1.6,"D",TRUE,"NG")</f>
        <v>A</v>
      </c>
      <c r="AM17" s="5">
        <f t="shared" si="4"/>
        <v>0.9</v>
      </c>
      <c r="AN17" s="5" t="str" cm="1">
        <f t="array" ref="AN17">_xlfn.IFS(AND(AM17&lt;=4,AM17&gt;3.6),"A+",AND(AM17&lt;=3.6,AM17&gt;3.2),"A",AND(AM17&lt;=3.2,AM17&gt;2.8),"B+",AND(AM17&lt;=2.8,AM17&gt;2.4),"B",AND(AM17&lt;=2.4,AM17&gt;2),"C+",AND(AM17&lt;=2,AM17&gt;1.6),"C",AM17=1.6,"D",TRUE,"NG")</f>
        <v>NG</v>
      </c>
      <c r="AO17" s="4">
        <v>35</v>
      </c>
      <c r="AP17" s="5" cm="1">
        <f t="array" ref="AP17">_xlfn.IFS(AO17/75*100&gt;=90,4,AO17/75*100&gt;=80,3.6,AO17/75*100&gt;=70,3.2,AO17/75*100&gt;=60,2.8,AO17/75*100&gt;=50,2.4,AO17/75*100&gt;=40,2,AO17/75*100&gt;=35,1.6,TRUE, 0)</f>
        <v>2</v>
      </c>
      <c r="AQ17" s="5" t="str" cm="1">
        <f t="array" ref="AQ17">_xlfn.IFS(AP17=4,"A+",AP17=3.6,"A",AP17=3.2,"B+",AP17=2.8,"B",AP17=2.4,"C+",AP17=2,"C",AP17=1.6,"D",TRUE,"NG")</f>
        <v>C</v>
      </c>
      <c r="AR17" s="5" cm="1">
        <f t="array" ref="AR17">_xlfn.IFS(AO17&gt;=70,25,AO17&gt;=60,24,AO17&gt;=50,23,AO17&gt;=40,22,AO17&gt;=30,21,TRUE,20)</f>
        <v>21</v>
      </c>
      <c r="AS17" s="5" cm="1">
        <f t="array" ref="AS17">_xlfn.IFS(AR17/25*100&gt;=90,4,AR17/25*100&gt;=80,3.6,AR17/25*100&gt;=70,3.2,AR17/25*100&gt;=60,2.8,AR17/25*100&gt;=50,2.4,AR17/25*100&gt;=40,2,AR17/25*100&gt;=35,1.6,TRUE, 0)</f>
        <v>3.6</v>
      </c>
      <c r="AT17" s="5" t="str" cm="1">
        <f t="array" ref="AT17">_xlfn.IFS(AS17=4,"A+",AS17=3.6,"A",AS17=3.2,"B+",AS17=2.8,"B",AS17=2.4,"C+",AS17=2,"C",AS17=1.6,"D",TRUE,"NG")</f>
        <v>A</v>
      </c>
      <c r="AU17" s="5">
        <f t="shared" si="5"/>
        <v>2.4</v>
      </c>
      <c r="AV17" s="5" t="str" cm="1">
        <f t="array" ref="AV17">_xlfn.IFS(AND(AU17&lt;=4,AU17&gt;3.6),"A+",AND(AU17&lt;=3.6,AU17&gt;3.2),"A",AND(AU17&lt;=3.2,AU17&gt;2.8),"B+",AND(AU17&lt;=2.8,AU17&gt;2.4),"B",AND(AU17&lt;=2.4,AU17&gt;2),"C+",AND(AU17&lt;=2,AU17&gt;1.6),"C",AU17=1.6,"D",TRUE,"NG")</f>
        <v>C+</v>
      </c>
      <c r="AW17" s="4">
        <v>37</v>
      </c>
      <c r="AX17" s="5" cm="1">
        <f t="array" ref="AX17">_xlfn.IFS(AW17="-","-",AW17/75*100&gt;=90,4,AW17/75*100&gt;=80,3.6,AW17/75*100&gt;=70,3.2,AW17/75*100&gt;=60,2.8,AW17/75*100&gt;=50,2.4,AW17/75*100&gt;=40,2,AW17/75*100&gt;=35,1.6,TRUE, 0)</f>
        <v>2</v>
      </c>
      <c r="AY17" s="5" t="str" cm="1">
        <f t="array" ref="AY17">_xlfn.IFS(AX17="-","-",AX17=4,"A+",AX17=3.6,"A",AX17=3.2,"B+",AX17=2.8,"B",AX17=2.4,"C+",AX17=2,"C",AX17=1.6,"D",TRUE,"NG")</f>
        <v>C</v>
      </c>
      <c r="AZ17" s="4">
        <v>18</v>
      </c>
      <c r="BA17" s="5" cm="1">
        <f t="array" ref="BA17">_xlfn.IFS(AZ17="-","-",AZ17/25*100&gt;=90,4,AZ17/25*100&gt;=80,3.6,AZ17/25*100&gt;=70,3.2,AZ17/25*100&gt;=60,2.8,AZ17/25*100&gt;=50,2.4,AZ17/25*100&gt;=40,2,AZ17/25*100&gt;=35,1.6,TRUE, 0)</f>
        <v>3.2</v>
      </c>
      <c r="BB17" s="5" t="str" cm="1">
        <f t="array" ref="BB17">_xlfn.IFS(BA17="-","-",BA17=4,"A+",BA17=3.6,"A",BA17=3.2,"B+",BA17=2.8,"B",BA17=2.4,"C+",BA17=2,"C",BA17=1.6,"D",TRUE,"NG")</f>
        <v>B+</v>
      </c>
      <c r="BC17" s="5">
        <f t="shared" si="6"/>
        <v>2.2999999999999998</v>
      </c>
      <c r="BD17" s="5" t="str" cm="1">
        <f t="array" ref="BD17">_xlfn.IFS(BC17="-","-",AND(BC17&lt;=4,BC17&gt;3.6),"A+",AND(BC17&lt;=3.6,BC17&gt;3.2),"A",AND(BC17&lt;=3.2,BC17&gt;2.8),"B+",AND(BC17&lt;=2.8,BC17&gt;2.4),"B",AND(BC17&lt;=2.4,BC17&gt;2),"C+",AND(BC17&lt;=2,BC17&gt;1.6),"C",BC17=1.6,"D",TRUE,"NG")</f>
        <v>C+</v>
      </c>
      <c r="BE17" s="4" t="s">
        <v>63</v>
      </c>
      <c r="BF17" t="str" cm="1">
        <f t="array" ref="BF17">_xlfn.IFS(BE17="-","-",BE17/50*100&gt;=90,4,BE17/50*100&gt;=80,3.6,BE17/50*100&gt;=70,3.2,BE17/50*100&gt;=60,2.8,BE17/50*100&gt;=50,2.4,BE17/50*100&gt;=40,2,BE17/50*100&gt;=35,1.6,TRUE, 0)</f>
        <v>-</v>
      </c>
      <c r="BG17" t="str" cm="1">
        <f t="array" ref="BG17">_xlfn.IFS(BF17="-","-",BF17=4,"A+",BF17=3.6,"A",BF17=3.2,"B+",BF17=2.8,"B",BF17=2.4,"C+",BF17=2,"C",BF17=1.6,"D",TRUE,"NG")</f>
        <v>-</v>
      </c>
      <c r="BH17" s="4" t="s">
        <v>63</v>
      </c>
      <c r="BI17" t="str" cm="1">
        <f t="array" ref="BI17">_xlfn.IFS(BH17="-","-",BH17/50*100&gt;=90,4,BH17/50*100&gt;=80,3.6,BH17/50*100&gt;=70,3.2,BH17/50*100&gt;=60,2.8,BH17/50*100&gt;=50,2.4,BH17/50*100&gt;=40,2,BH17/50*100&gt;=35,1.6,TRUE, 0)</f>
        <v>-</v>
      </c>
      <c r="BJ17" t="str" cm="1">
        <f t="array" ref="BJ17">_xlfn.IFS(BI17="-","-",BI17=4,"A+",BI17=3.6,"A",BI17=3.2,"B+",BI17=2.8,"B",BI17=2.4,"C+",BI17=2,"C",BI17=1.6,"D",TRUE,"NG")</f>
        <v>-</v>
      </c>
      <c r="BK17" t="str">
        <f t="shared" si="7"/>
        <v>-</v>
      </c>
      <c r="BL17" t="str" cm="1">
        <f t="array" ref="BL17">_xlfn.IFS(BK17="-","-",AND(BK17&lt;=4,BK17&gt;3.6),"A+",AND(BK17&lt;=3.6,BK17&gt;3.2),"A",AND(BK17&lt;=3.2,BK17&gt;2.8),"B+",AND(BK17&lt;=2.8,BK17&gt;2.4),"B",AND(BK17&lt;=2.4,BK17&gt;2),"C+",AND(BK17&lt;=2,BK17&gt;1.6),"C",BK17=1.6,"D",TRUE,"NG")</f>
        <v>-</v>
      </c>
      <c r="BM17" s="9" cm="1">
        <f t="array" ref="BM17">_xlfn.IFS(AW17&lt;&gt;"-",((J17*3+M17*1)+(R17*2.25+U17*0.75)+(Z17*3.75+AC17*1.25)+(AH17*3.75+AK17*1.25)+(AP17*3.75+AS17*1.25)+(AX17*3.75+BA17*1.25))/(4+3+5*4),BE17&lt;&gt;"-",((J17*3+M17*1)+(R17*2.25+U17*0.75)+(Z17*3.75+AC17*1.25)+(AH17*3.75+AK17*1.25)+(AP17*3.75+AS17*1.25)+(BF17*2.5+BI17*2.5))/(4+3+5*4))</f>
        <v>2.0407407407407407</v>
      </c>
    </row>
    <row r="18" spans="1:65" x14ac:dyDescent="0.3">
      <c r="A18" s="2">
        <v>117</v>
      </c>
      <c r="B18" s="12">
        <v>793270280037</v>
      </c>
      <c r="C18" s="13">
        <v>12706888</v>
      </c>
      <c r="D18" s="14" t="s">
        <v>83</v>
      </c>
      <c r="E18" s="3" t="s">
        <v>62</v>
      </c>
      <c r="F18" s="15">
        <v>59232</v>
      </c>
      <c r="G18" s="3" t="str">
        <f t="shared" si="0"/>
        <v>2062/03/02</v>
      </c>
      <c r="H18" s="3" t="str" cm="1">
        <f t="array" ref="H18">[1]!bs2ad(G18)</f>
        <v>2005-6-16</v>
      </c>
      <c r="I18" s="4">
        <v>58</v>
      </c>
      <c r="J18" s="5" cm="1">
        <f t="array" ref="J18">_xlfn.IFS(I18/75*100&gt;=90,4,I18/75*100&gt;=80,3.6,I18/75*100&gt;=70,3.2,I18/75*100&gt;=60,2.8,I18/75*100&gt;=50,2.4,I18/75*100&gt;=40,2,I18/75*100&gt;=35,1.6,TRUE, 0)</f>
        <v>3.2</v>
      </c>
      <c r="K18" s="5" t="str" cm="1">
        <f t="array" ref="K18">_xlfn.IFS(J18=4,"A+",J18=3.6,"A",J18=3.2,"B+",J18=2.8,"B",J18=2.4,"C+",J18=2,"C",J18=1.6,"D",TRUE,"NG")</f>
        <v>B+</v>
      </c>
      <c r="L18" s="4">
        <v>25</v>
      </c>
      <c r="M18" s="5" cm="1">
        <f t="array" ref="M18">_xlfn.IFS(L18/25*100&gt;=90,4,L18/25*100&gt;=80,3.6,L18/25*100&gt;=70,3.2,L18/25*100&gt;=60,2.8,L18/25*100&gt;=50,2.4,L18/25*100&gt;=40,2,L18/25*100&gt;=35,1.6,TRUE, 0)</f>
        <v>4</v>
      </c>
      <c r="N18" s="5" t="str" cm="1">
        <f t="array" ref="N18">_xlfn.IFS(M18=4,"A+",M18=3.6,"A",M18=3.2,"B+",M18=2.8,"B",M18=2.4,"C+",M18=2,"C",M18=1.6,"D",TRUE,"NG")</f>
        <v>A+</v>
      </c>
      <c r="O18" s="5">
        <f t="shared" si="1"/>
        <v>3.4000000000000004</v>
      </c>
      <c r="P18" s="5" t="str" cm="1">
        <f t="array" ref="P18">_xlfn.IFS(AND(O18&lt;=4,O18&gt;3.6),"A+",AND(O18&lt;=3.6,O18&gt;3.2),"A",AND(O18&lt;=3.2,O18&gt;2.8),"B+",AND(O18&lt;=2.8,O18&gt;2.4),"B",AND(O18&lt;=2.4,O18&gt;2),"C+",AND(O18&lt;=2,O18&gt;1.6),"C",O18=1.6,"D",TRUE,"NG")</f>
        <v>A</v>
      </c>
      <c r="Q18" s="4">
        <v>44</v>
      </c>
      <c r="R18" s="5" cm="1">
        <f t="array" ref="R18">_xlfn.IFS(Q18/75*100&gt;=90,4,Q18/75*100&gt;=80,3.6,Q18/75*100&gt;=70,3.2,Q18/75*100&gt;=60,2.8,Q18/75*100&gt;=50,2.4,Q18/75*100&gt;=40,2,Q18/75*100&gt;=35,1.6,TRUE, 0)</f>
        <v>2.4</v>
      </c>
      <c r="S18" s="5" t="str" cm="1">
        <f t="array" ref="S18">_xlfn.IFS(R18=4,"A+",R18=3.6,"A",R18=3.2,"B+",R18=2.8,"B",R18=2.4,"C+",R18=2,"C",R18=1.6,"D",TRUE,"NG")</f>
        <v>C+</v>
      </c>
      <c r="T18" s="5" cm="1">
        <f t="array" ref="T18">_xlfn.IFS(Q18&gt;=70,25,Q18&gt;=60,24,Q18&gt;=50,23,Q18&gt;=40,22,Q18&gt;=30,21,TRUE,20)</f>
        <v>22</v>
      </c>
      <c r="U18" s="5" cm="1">
        <f t="array" ref="U18">_xlfn.IFS(T18/25*100&gt;=90,4,T18/25*100&gt;=80,3.6,T18/25*100&gt;=70,3.2,T18/25*100&gt;=60,2.8,T18/25*100&gt;=50,2.4,T18/25*100&gt;=40,2,T18/25*100&gt;=35,1.6,TRUE, 0)</f>
        <v>3.6</v>
      </c>
      <c r="V18" s="5" t="str" cm="1">
        <f t="array" ref="V18">_xlfn.IFS(U18=4,"A+",U18=3.6,"A",U18=3.2,"B+",U18=2.8,"B",U18=2.4,"C+",U18=2,"C",U18=1.6,"D",TRUE,"NG")</f>
        <v>A</v>
      </c>
      <c r="W18" s="5">
        <f t="shared" si="2"/>
        <v>2.6999999999999997</v>
      </c>
      <c r="X18" s="5" t="str" cm="1">
        <f t="array" ref="X18">_xlfn.IFS(AND(W18&lt;=4,W18&gt;3.6),"A+",AND(W18&lt;=3.6,W18&gt;3.2),"A",AND(W18&lt;=3.2,W18&gt;2.8),"B+",AND(W18&lt;=2.8,W18&gt;2.4),"B",AND(W18&lt;=2.4,W18&gt;2),"C+",AND(W18&lt;=2,W18&gt;1.6),"C",W18=1.6,"D",TRUE,"NG")</f>
        <v>B</v>
      </c>
      <c r="Y18" s="4">
        <v>35</v>
      </c>
      <c r="Z18" s="5" cm="1">
        <f t="array" ref="Z18">_xlfn.IFS(Y18/75*100&gt;=90,4,Y18/75*100&gt;=80,3.6,Y18/75*100&gt;=70,3.2,Y18/75*100&gt;=60,2.8,Y18/75*100&gt;=50,2.4,Y18/75*100&gt;=40,2,Y18/75*100&gt;=35,1.6,TRUE, 0)</f>
        <v>2</v>
      </c>
      <c r="AA18" s="5" t="str" cm="1">
        <f t="array" ref="AA18">_xlfn.IFS(Z18=4,"A+",Z18=3.6,"A",Z18=3.2,"B+",Z18=2.8,"B",Z18=2.4,"C+",Z18=2,"C",Z18=1.6,"D",TRUE,"NG")</f>
        <v>C</v>
      </c>
      <c r="AB18" s="4">
        <v>24</v>
      </c>
      <c r="AC18" s="5" cm="1">
        <f t="array" ref="AC18">_xlfn.IFS(AB18/25*100&gt;=90,4,AB18/25*100&gt;=80,3.6,AB18/25*100&gt;=70,3.2,AB18/25*100&gt;=60,2.8,AB18/25*100&gt;=50,2.4,AB18/25*100&gt;=40,2,AB18/25*100&gt;=35,1.6,TRUE, 0)</f>
        <v>4</v>
      </c>
      <c r="AD18" s="5" t="str" cm="1">
        <f t="array" ref="AD18">_xlfn.IFS(AC18=4,"A+",AC18=3.6,"A",AC18=3.2,"B+",AC18=2.8,"B",AC18=2.4,"C+",AC18=2,"C",AC18=1.6,"D",TRUE,"NG")</f>
        <v>A+</v>
      </c>
      <c r="AE18" s="5">
        <f t="shared" si="3"/>
        <v>2.5</v>
      </c>
      <c r="AF18" s="5" t="str" cm="1">
        <f t="array" ref="AF18">_xlfn.IFS(AND(AE18&lt;=4,AE18&gt;3.6),"A+",AND(AE18&lt;=3.6,AE18&gt;3.2),"A",AND(AE18&lt;=3.2,AE18&gt;2.8),"B+",AND(AE18&lt;=2.8,AE18&gt;2.4),"B",AND(AE18&lt;=2.4,AE18&gt;2),"C+",AND(AE18&lt;=2,AE18&gt;1.6),"C",AE18=1.6,"D",TRUE,"NG")</f>
        <v>B</v>
      </c>
      <c r="AG18" s="4">
        <v>31</v>
      </c>
      <c r="AH18" s="5" cm="1">
        <f t="array" ref="AH18">_xlfn.IFS(AG18/75*100&gt;=90,4,AG18/75*100&gt;=80,3.6,AG18/75*100&gt;=70,3.2,AG18/75*100&gt;=60,2.8,AG18/75*100&gt;=50,2.4,AG18/75*100&gt;=40,2,AG18/75*100&gt;=35,1.6,TRUE, 0)</f>
        <v>2</v>
      </c>
      <c r="AI18" s="5" t="str" cm="1">
        <f t="array" ref="AI18">_xlfn.IFS(AH18=4,"A+",AH18=3.6,"A",AH18=3.2,"B+",AH18=2.8,"B",AH18=2.4,"C+",AH18=2,"C",AH18=1.6,"D",TRUE,"NG")</f>
        <v>C</v>
      </c>
      <c r="AJ18" s="4">
        <v>23</v>
      </c>
      <c r="AK18" s="5" cm="1">
        <f t="array" ref="AK18">_xlfn.IFS(AJ18/25*100&gt;=90,4,AJ18/25*100&gt;=80,3.6,AJ18/25*100&gt;=70,3.2,AJ18/25*100&gt;=60,2.8,AJ18/25*100&gt;=50,2.4,AJ18/25*100&gt;=40,2,AJ18/25*100&gt;=35,1.6,TRUE, 0)</f>
        <v>4</v>
      </c>
      <c r="AL18" s="5" t="str" cm="1">
        <f t="array" ref="AL18">_xlfn.IFS(AK18=4,"A+",AK18=3.6,"A",AK18=3.2,"B+",AK18=2.8,"B",AK18=2.4,"C+",AK18=2,"C",AK18=1.6,"D",TRUE,"NG")</f>
        <v>A+</v>
      </c>
      <c r="AM18" s="5">
        <f t="shared" si="4"/>
        <v>2.5</v>
      </c>
      <c r="AN18" s="5" t="str" cm="1">
        <f t="array" ref="AN18">_xlfn.IFS(AND(AM18&lt;=4,AM18&gt;3.6),"A+",AND(AM18&lt;=3.6,AM18&gt;3.2),"A",AND(AM18&lt;=3.2,AM18&gt;2.8),"B+",AND(AM18&lt;=2.8,AM18&gt;2.4),"B",AND(AM18&lt;=2.4,AM18&gt;2),"C+",AND(AM18&lt;=2,AM18&gt;1.6),"C",AM18=1.6,"D",TRUE,"NG")</f>
        <v>B</v>
      </c>
      <c r="AO18" s="4">
        <v>55</v>
      </c>
      <c r="AP18" s="5" cm="1">
        <f t="array" ref="AP18">_xlfn.IFS(AO18/75*100&gt;=90,4,AO18/75*100&gt;=80,3.6,AO18/75*100&gt;=70,3.2,AO18/75*100&gt;=60,2.8,AO18/75*100&gt;=50,2.4,AO18/75*100&gt;=40,2,AO18/75*100&gt;=35,1.6,TRUE, 0)</f>
        <v>3.2</v>
      </c>
      <c r="AQ18" s="5" t="str" cm="1">
        <f t="array" ref="AQ18">_xlfn.IFS(AP18=4,"A+",AP18=3.6,"A",AP18=3.2,"B+",AP18=2.8,"B",AP18=2.4,"C+",AP18=2,"C",AP18=1.6,"D",TRUE,"NG")</f>
        <v>B+</v>
      </c>
      <c r="AR18" s="5" cm="1">
        <f t="array" ref="AR18">_xlfn.IFS(AO18&gt;=70,25,AO18&gt;=60,24,AO18&gt;=50,23,AO18&gt;=40,22,AO18&gt;=30,21,TRUE,20)</f>
        <v>23</v>
      </c>
      <c r="AS18" s="5" cm="1">
        <f t="array" ref="AS18">_xlfn.IFS(AR18/25*100&gt;=90,4,AR18/25*100&gt;=80,3.6,AR18/25*100&gt;=70,3.2,AR18/25*100&gt;=60,2.8,AR18/25*100&gt;=50,2.4,AR18/25*100&gt;=40,2,AR18/25*100&gt;=35,1.6,TRUE, 0)</f>
        <v>4</v>
      </c>
      <c r="AT18" s="5" t="str" cm="1">
        <f t="array" ref="AT18">_xlfn.IFS(AS18=4,"A+",AS18=3.6,"A",AS18=3.2,"B+",AS18=2.8,"B",AS18=2.4,"C+",AS18=2,"C",AS18=1.6,"D",TRUE,"NG")</f>
        <v>A+</v>
      </c>
      <c r="AU18" s="5">
        <f t="shared" si="5"/>
        <v>3.4</v>
      </c>
      <c r="AV18" s="5" t="str" cm="1">
        <f t="array" ref="AV18">_xlfn.IFS(AND(AU18&lt;=4,AU18&gt;3.6),"A+",AND(AU18&lt;=3.6,AU18&gt;3.2),"A",AND(AU18&lt;=3.2,AU18&gt;2.8),"B+",AND(AU18&lt;=2.8,AU18&gt;2.4),"B",AND(AU18&lt;=2.4,AU18&gt;2),"C+",AND(AU18&lt;=2,AU18&gt;1.6),"C",AU18=1.6,"D",TRUE,"NG")</f>
        <v>A</v>
      </c>
      <c r="AW18" s="4" t="s">
        <v>63</v>
      </c>
      <c r="AX18" s="5" t="str" cm="1">
        <f t="array" ref="AX18">_xlfn.IFS(AW18="-","-",AW18/75*100&gt;=90,4,AW18/75*100&gt;=80,3.6,AW18/75*100&gt;=70,3.2,AW18/75*100&gt;=60,2.8,AW18/75*100&gt;=50,2.4,AW18/75*100&gt;=40,2,AW18/75*100&gt;=35,1.6,TRUE, 0)</f>
        <v>-</v>
      </c>
      <c r="AY18" s="5" t="str" cm="1">
        <f t="array" ref="AY18">_xlfn.IFS(AX18="-","-",AX18=4,"A+",AX18=3.6,"A",AX18=3.2,"B+",AX18=2.8,"B",AX18=2.4,"C+",AX18=2,"C",AX18=1.6,"D",TRUE,"NG")</f>
        <v>-</v>
      </c>
      <c r="AZ18" s="4" t="s">
        <v>63</v>
      </c>
      <c r="BA18" s="5" t="str" cm="1">
        <f t="array" ref="BA18">_xlfn.IFS(AZ18="-","-",AZ18/25*100&gt;=90,4,AZ18/25*100&gt;=80,3.6,AZ18/25*100&gt;=70,3.2,AZ18/25*100&gt;=60,2.8,AZ18/25*100&gt;=50,2.4,AZ18/25*100&gt;=40,2,AZ18/25*100&gt;=35,1.6,TRUE, 0)</f>
        <v>-</v>
      </c>
      <c r="BB18" s="5" t="str" cm="1">
        <f t="array" ref="BB18">_xlfn.IFS(BA18="-","-",BA18=4,"A+",BA18=3.6,"A",BA18=3.2,"B+",BA18=2.8,"B",BA18=2.4,"C+",BA18=2,"C",BA18=1.6,"D",TRUE,"NG")</f>
        <v>-</v>
      </c>
      <c r="BC18" s="5" t="str">
        <f t="shared" si="6"/>
        <v>-</v>
      </c>
      <c r="BD18" s="5" t="str" cm="1">
        <f t="array" ref="BD18">_xlfn.IFS(BC18="-","-",AND(BC18&lt;=4,BC18&gt;3.6),"A+",AND(BC18&lt;=3.6,BC18&gt;3.2),"A",AND(BC18&lt;=3.2,BC18&gt;2.8),"B+",AND(BC18&lt;=2.8,BC18&gt;2.4),"B",AND(BC18&lt;=2.4,BC18&gt;2),"C+",AND(BC18&lt;=2,BC18&gt;1.6),"C",BC18=1.6,"D",TRUE,"NG")</f>
        <v>-</v>
      </c>
      <c r="BE18" s="4">
        <v>47</v>
      </c>
      <c r="BF18" cm="1">
        <f t="array" ref="BF18">_xlfn.IFS(BE18="-","-",BE18/50*100&gt;=90,4,BE18/50*100&gt;=80,3.6,BE18/50*100&gt;=70,3.2,BE18/50*100&gt;=60,2.8,BE18/50*100&gt;=50,2.4,BE18/50*100&gt;=40,2,BE18/50*100&gt;=35,1.6,TRUE, 0)</f>
        <v>4</v>
      </c>
      <c r="BG18" t="str" cm="1">
        <f t="array" ref="BG18">_xlfn.IFS(BF18="-","-",BF18=4,"A+",BF18=3.6,"A",BF18=3.2,"B+",BF18=2.8,"B",BF18=2.4,"C+",BF18=2,"C",BF18=1.6,"D",TRUE,"NG")</f>
        <v>A+</v>
      </c>
      <c r="BH18" s="4">
        <v>48</v>
      </c>
      <c r="BI18" cm="1">
        <f t="array" ref="BI18">_xlfn.IFS(BH18="-","-",BH18/50*100&gt;=90,4,BH18/50*100&gt;=80,3.6,BH18/50*100&gt;=70,3.2,BH18/50*100&gt;=60,2.8,BH18/50*100&gt;=50,2.4,BH18/50*100&gt;=40,2,BH18/50*100&gt;=35,1.6,TRUE, 0)</f>
        <v>4</v>
      </c>
      <c r="BJ18" t="str" cm="1">
        <f t="array" ref="BJ18">_xlfn.IFS(BI18="-","-",BI18=4,"A+",BI18=3.6,"A",BI18=3.2,"B+",BI18=2.8,"B",BI18=2.4,"C+",BI18=2,"C",BI18=1.6,"D",TRUE,"NG")</f>
        <v>A+</v>
      </c>
      <c r="BK18">
        <f t="shared" si="7"/>
        <v>4</v>
      </c>
      <c r="BL18" t="str" cm="1">
        <f t="array" ref="BL18">_xlfn.IFS(BK18="-","-",AND(BK18&lt;=4,BK18&gt;3.6),"A+",AND(BK18&lt;=3.6,BK18&gt;3.2),"A",AND(BK18&lt;=3.2,BK18&gt;2.8),"B+",AND(BK18&lt;=2.8,BK18&gt;2.4),"B",AND(BK18&lt;=2.4,BK18&gt;2),"C+",AND(BK18&lt;=2,BK18&gt;1.6),"C",BK18=1.6,"D",TRUE,"NG")</f>
        <v>A+</v>
      </c>
      <c r="BM18" s="9" cm="1">
        <f t="array" ref="BM18">_xlfn.IFS(AW18&lt;&gt;"-",((J18*3+M18*1)+(R18*2.25+U18*0.75)+(Z18*3.75+AC18*1.25)+(AH18*3.75+AK18*1.25)+(AP18*3.75+AS18*1.25)+(AX18*3.75+BA18*1.25))/(4+3+5*4),BE18&lt;&gt;"-",((J18*3+M18*1)+(R18*2.25+U18*0.75)+(Z18*3.75+AC18*1.25)+(AH18*3.75+AK18*1.25)+(AP18*3.75+AS18*1.25)+(BF18*2.5+BI18*2.5))/(4+3+5*4))</f>
        <v>3.1</v>
      </c>
    </row>
    <row r="19" spans="1:65" x14ac:dyDescent="0.3">
      <c r="A19" s="2">
        <v>118</v>
      </c>
      <c r="B19" s="12">
        <v>793270280039</v>
      </c>
      <c r="C19" s="13">
        <v>12706890</v>
      </c>
      <c r="D19" s="14" t="s">
        <v>84</v>
      </c>
      <c r="E19" s="3" t="s">
        <v>64</v>
      </c>
      <c r="F19" s="15">
        <v>59113</v>
      </c>
      <c r="G19" s="3" t="str">
        <f t="shared" si="0"/>
        <v>2061/11/03</v>
      </c>
      <c r="H19" s="3" t="str" cm="1">
        <f t="array" ref="H19">[1]!bs2ad(G19)</f>
        <v>2005-2-14</v>
      </c>
      <c r="I19" s="4">
        <v>53</v>
      </c>
      <c r="J19" s="5" cm="1">
        <f t="array" ref="J19">_xlfn.IFS(I19/75*100&gt;=90,4,I19/75*100&gt;=80,3.6,I19/75*100&gt;=70,3.2,I19/75*100&gt;=60,2.8,I19/75*100&gt;=50,2.4,I19/75*100&gt;=40,2,I19/75*100&gt;=35,1.6,TRUE, 0)</f>
        <v>3.2</v>
      </c>
      <c r="K19" s="5" t="str" cm="1">
        <f t="array" ref="K19">_xlfn.IFS(J19=4,"A+",J19=3.6,"A",J19=3.2,"B+",J19=2.8,"B",J19=2.4,"C+",J19=2,"C",J19=1.6,"D",TRUE,"NG")</f>
        <v>B+</v>
      </c>
      <c r="L19" s="4">
        <v>25</v>
      </c>
      <c r="M19" s="5" cm="1">
        <f t="array" ref="M19">_xlfn.IFS(L19/25*100&gt;=90,4,L19/25*100&gt;=80,3.6,L19/25*100&gt;=70,3.2,L19/25*100&gt;=60,2.8,L19/25*100&gt;=50,2.4,L19/25*100&gt;=40,2,L19/25*100&gt;=35,1.6,TRUE, 0)</f>
        <v>4</v>
      </c>
      <c r="N19" s="5" t="str" cm="1">
        <f t="array" ref="N19">_xlfn.IFS(M19=4,"A+",M19=3.6,"A",M19=3.2,"B+",M19=2.8,"B",M19=2.4,"C+",M19=2,"C",M19=1.6,"D",TRUE,"NG")</f>
        <v>A+</v>
      </c>
      <c r="O19" s="5">
        <f t="shared" si="1"/>
        <v>3.4000000000000004</v>
      </c>
      <c r="P19" s="5" t="str" cm="1">
        <f t="array" ref="P19">_xlfn.IFS(AND(O19&lt;=4,O19&gt;3.6),"A+",AND(O19&lt;=3.6,O19&gt;3.2),"A",AND(O19&lt;=3.2,O19&gt;2.8),"B+",AND(O19&lt;=2.8,O19&gt;2.4),"B",AND(O19&lt;=2.4,O19&gt;2),"C+",AND(O19&lt;=2,O19&gt;1.6),"C",O19=1.6,"D",TRUE,"NG")</f>
        <v>A</v>
      </c>
      <c r="Q19" s="4">
        <v>41</v>
      </c>
      <c r="R19" s="5" cm="1">
        <f t="array" ref="R19">_xlfn.IFS(Q19/75*100&gt;=90,4,Q19/75*100&gt;=80,3.6,Q19/75*100&gt;=70,3.2,Q19/75*100&gt;=60,2.8,Q19/75*100&gt;=50,2.4,Q19/75*100&gt;=40,2,Q19/75*100&gt;=35,1.6,TRUE, 0)</f>
        <v>2.4</v>
      </c>
      <c r="S19" s="5" t="str" cm="1">
        <f t="array" ref="S19">_xlfn.IFS(R19=4,"A+",R19=3.6,"A",R19=3.2,"B+",R19=2.8,"B",R19=2.4,"C+",R19=2,"C",R19=1.6,"D",TRUE,"NG")</f>
        <v>C+</v>
      </c>
      <c r="T19" s="5" cm="1">
        <f t="array" ref="T19">_xlfn.IFS(Q19&gt;=70,25,Q19&gt;=60,24,Q19&gt;=50,23,Q19&gt;=40,22,Q19&gt;=30,21,TRUE,20)</f>
        <v>22</v>
      </c>
      <c r="U19" s="5" cm="1">
        <f t="array" ref="U19">_xlfn.IFS(T19/25*100&gt;=90,4,T19/25*100&gt;=80,3.6,T19/25*100&gt;=70,3.2,T19/25*100&gt;=60,2.8,T19/25*100&gt;=50,2.4,T19/25*100&gt;=40,2,T19/25*100&gt;=35,1.6,TRUE, 0)</f>
        <v>3.6</v>
      </c>
      <c r="V19" s="5" t="str" cm="1">
        <f t="array" ref="V19">_xlfn.IFS(U19=4,"A+",U19=3.6,"A",U19=3.2,"B+",U19=2.8,"B",U19=2.4,"C+",U19=2,"C",U19=1.6,"D",TRUE,"NG")</f>
        <v>A</v>
      </c>
      <c r="W19" s="5">
        <f t="shared" si="2"/>
        <v>2.6999999999999997</v>
      </c>
      <c r="X19" s="5" t="str" cm="1">
        <f t="array" ref="X19">_xlfn.IFS(AND(W19&lt;=4,W19&gt;3.6),"A+",AND(W19&lt;=3.6,W19&gt;3.2),"A",AND(W19&lt;=3.2,W19&gt;2.8),"B+",AND(W19&lt;=2.8,W19&gt;2.4),"B",AND(W19&lt;=2.4,W19&gt;2),"C+",AND(W19&lt;=2,W19&gt;1.6),"C",W19=1.6,"D",TRUE,"NG")</f>
        <v>B</v>
      </c>
      <c r="Y19" s="4">
        <v>33</v>
      </c>
      <c r="Z19" s="5" cm="1">
        <f t="array" ref="Z19">_xlfn.IFS(Y19/75*100&gt;=90,4,Y19/75*100&gt;=80,3.6,Y19/75*100&gt;=70,3.2,Y19/75*100&gt;=60,2.8,Y19/75*100&gt;=50,2.4,Y19/75*100&gt;=40,2,Y19/75*100&gt;=35,1.6,TRUE, 0)</f>
        <v>2</v>
      </c>
      <c r="AA19" s="5" t="str" cm="1">
        <f t="array" ref="AA19">_xlfn.IFS(Z19=4,"A+",Z19=3.6,"A",Z19=3.2,"B+",Z19=2.8,"B",Z19=2.4,"C+",Z19=2,"C",Z19=1.6,"D",TRUE,"NG")</f>
        <v>C</v>
      </c>
      <c r="AB19" s="4">
        <v>22</v>
      </c>
      <c r="AC19" s="5" cm="1">
        <f t="array" ref="AC19">_xlfn.IFS(AB19/25*100&gt;=90,4,AB19/25*100&gt;=80,3.6,AB19/25*100&gt;=70,3.2,AB19/25*100&gt;=60,2.8,AB19/25*100&gt;=50,2.4,AB19/25*100&gt;=40,2,AB19/25*100&gt;=35,1.6,TRUE, 0)</f>
        <v>3.6</v>
      </c>
      <c r="AD19" s="5" t="str" cm="1">
        <f t="array" ref="AD19">_xlfn.IFS(AC19=4,"A+",AC19=3.6,"A",AC19=3.2,"B+",AC19=2.8,"B",AC19=2.4,"C+",AC19=2,"C",AC19=1.6,"D",TRUE,"NG")</f>
        <v>A</v>
      </c>
      <c r="AE19" s="5">
        <f t="shared" si="3"/>
        <v>2.4</v>
      </c>
      <c r="AF19" s="5" t="str" cm="1">
        <f t="array" ref="AF19">_xlfn.IFS(AND(AE19&lt;=4,AE19&gt;3.6),"A+",AND(AE19&lt;=3.6,AE19&gt;3.2),"A",AND(AE19&lt;=3.2,AE19&gt;2.8),"B+",AND(AE19&lt;=2.8,AE19&gt;2.4),"B",AND(AE19&lt;=2.4,AE19&gt;2),"C+",AND(AE19&lt;=2,AE19&gt;1.6),"C",AE19=1.6,"D",TRUE,"NG")</f>
        <v>C+</v>
      </c>
      <c r="AG19" s="4">
        <v>30</v>
      </c>
      <c r="AH19" s="5" cm="1">
        <f t="array" ref="AH19">_xlfn.IFS(AG19/75*100&gt;=90,4,AG19/75*100&gt;=80,3.6,AG19/75*100&gt;=70,3.2,AG19/75*100&gt;=60,2.8,AG19/75*100&gt;=50,2.4,AG19/75*100&gt;=40,2,AG19/75*100&gt;=35,1.6,TRUE, 0)</f>
        <v>2</v>
      </c>
      <c r="AI19" s="5" t="str" cm="1">
        <f t="array" ref="AI19">_xlfn.IFS(AH19=4,"A+",AH19=3.6,"A",AH19=3.2,"B+",AH19=2.8,"B",AH19=2.4,"C+",AH19=2,"C",AH19=1.6,"D",TRUE,"NG")</f>
        <v>C</v>
      </c>
      <c r="AJ19" s="4">
        <v>22</v>
      </c>
      <c r="AK19" s="5" cm="1">
        <f t="array" ref="AK19">_xlfn.IFS(AJ19/25*100&gt;=90,4,AJ19/25*100&gt;=80,3.6,AJ19/25*100&gt;=70,3.2,AJ19/25*100&gt;=60,2.8,AJ19/25*100&gt;=50,2.4,AJ19/25*100&gt;=40,2,AJ19/25*100&gt;=35,1.6,TRUE, 0)</f>
        <v>3.6</v>
      </c>
      <c r="AL19" s="5" t="str" cm="1">
        <f t="array" ref="AL19">_xlfn.IFS(AK19=4,"A+",AK19=3.6,"A",AK19=3.2,"B+",AK19=2.8,"B",AK19=2.4,"C+",AK19=2,"C",AK19=1.6,"D",TRUE,"NG")</f>
        <v>A</v>
      </c>
      <c r="AM19" s="5">
        <f t="shared" si="4"/>
        <v>2.4</v>
      </c>
      <c r="AN19" s="5" t="str" cm="1">
        <f t="array" ref="AN19">_xlfn.IFS(AND(AM19&lt;=4,AM19&gt;3.6),"A+",AND(AM19&lt;=3.6,AM19&gt;3.2),"A",AND(AM19&lt;=3.2,AM19&gt;2.8),"B+",AND(AM19&lt;=2.8,AM19&gt;2.4),"B",AND(AM19&lt;=2.4,AM19&gt;2),"C+",AND(AM19&lt;=2,AM19&gt;1.6),"C",AM19=1.6,"D",TRUE,"NG")</f>
        <v>C+</v>
      </c>
      <c r="AO19" s="4">
        <v>40</v>
      </c>
      <c r="AP19" s="5" cm="1">
        <f t="array" ref="AP19">_xlfn.IFS(AO19/75*100&gt;=90,4,AO19/75*100&gt;=80,3.6,AO19/75*100&gt;=70,3.2,AO19/75*100&gt;=60,2.8,AO19/75*100&gt;=50,2.4,AO19/75*100&gt;=40,2,AO19/75*100&gt;=35,1.6,TRUE, 0)</f>
        <v>2.4</v>
      </c>
      <c r="AQ19" s="5" t="str" cm="1">
        <f t="array" ref="AQ19">_xlfn.IFS(AP19=4,"A+",AP19=3.6,"A",AP19=3.2,"B+",AP19=2.8,"B",AP19=2.4,"C+",AP19=2,"C",AP19=1.6,"D",TRUE,"NG")</f>
        <v>C+</v>
      </c>
      <c r="AR19" s="5" cm="1">
        <f t="array" ref="AR19">_xlfn.IFS(AO19&gt;=70,25,AO19&gt;=60,24,AO19&gt;=50,23,AO19&gt;=40,22,AO19&gt;=30,21,TRUE,20)</f>
        <v>22</v>
      </c>
      <c r="AS19" s="5" cm="1">
        <f t="array" ref="AS19">_xlfn.IFS(AR19/25*100&gt;=90,4,AR19/25*100&gt;=80,3.6,AR19/25*100&gt;=70,3.2,AR19/25*100&gt;=60,2.8,AR19/25*100&gt;=50,2.4,AR19/25*100&gt;=40,2,AR19/25*100&gt;=35,1.6,TRUE, 0)</f>
        <v>3.6</v>
      </c>
      <c r="AT19" s="5" t="str" cm="1">
        <f t="array" ref="AT19">_xlfn.IFS(AS19=4,"A+",AS19=3.6,"A",AS19=3.2,"B+",AS19=2.8,"B",AS19=2.4,"C+",AS19=2,"C",AS19=1.6,"D",TRUE,"NG")</f>
        <v>A</v>
      </c>
      <c r="AU19" s="5">
        <f t="shared" si="5"/>
        <v>2.7</v>
      </c>
      <c r="AV19" s="5" t="str" cm="1">
        <f t="array" ref="AV19">_xlfn.IFS(AND(AU19&lt;=4,AU19&gt;3.6),"A+",AND(AU19&lt;=3.6,AU19&gt;3.2),"A",AND(AU19&lt;=3.2,AU19&gt;2.8),"B+",AND(AU19&lt;=2.8,AU19&gt;2.4),"B",AND(AU19&lt;=2.4,AU19&gt;2),"C+",AND(AU19&lt;=2,AU19&gt;1.6),"C",AU19=1.6,"D",TRUE,"NG")</f>
        <v>B</v>
      </c>
      <c r="AW19" s="4">
        <v>40</v>
      </c>
      <c r="AX19" s="5" cm="1">
        <f t="array" ref="AX19">_xlfn.IFS(AW19="-","-",AW19/75*100&gt;=90,4,AW19/75*100&gt;=80,3.6,AW19/75*100&gt;=70,3.2,AW19/75*100&gt;=60,2.8,AW19/75*100&gt;=50,2.4,AW19/75*100&gt;=40,2,AW19/75*100&gt;=35,1.6,TRUE, 0)</f>
        <v>2.4</v>
      </c>
      <c r="AY19" s="5" t="str" cm="1">
        <f t="array" ref="AY19">_xlfn.IFS(AX19="-","-",AX19=4,"A+",AX19=3.6,"A",AX19=3.2,"B+",AX19=2.8,"B",AX19=2.4,"C+",AX19=2,"C",AX19=1.6,"D",TRUE,"NG")</f>
        <v>C+</v>
      </c>
      <c r="AZ19" s="4">
        <v>18</v>
      </c>
      <c r="BA19" s="5" cm="1">
        <f t="array" ref="BA19">_xlfn.IFS(AZ19="-","-",AZ19/25*100&gt;=90,4,AZ19/25*100&gt;=80,3.6,AZ19/25*100&gt;=70,3.2,AZ19/25*100&gt;=60,2.8,AZ19/25*100&gt;=50,2.4,AZ19/25*100&gt;=40,2,AZ19/25*100&gt;=35,1.6,TRUE, 0)</f>
        <v>3.2</v>
      </c>
      <c r="BB19" s="5" t="str" cm="1">
        <f t="array" ref="BB19">_xlfn.IFS(BA19="-","-",BA19=4,"A+",BA19=3.6,"A",BA19=3.2,"B+",BA19=2.8,"B",BA19=2.4,"C+",BA19=2,"C",BA19=1.6,"D",TRUE,"NG")</f>
        <v>B+</v>
      </c>
      <c r="BC19" s="5">
        <f t="shared" si="6"/>
        <v>2.6</v>
      </c>
      <c r="BD19" s="5" t="str" cm="1">
        <f t="array" ref="BD19">_xlfn.IFS(BC19="-","-",AND(BC19&lt;=4,BC19&gt;3.6),"A+",AND(BC19&lt;=3.6,BC19&gt;3.2),"A",AND(BC19&lt;=3.2,BC19&gt;2.8),"B+",AND(BC19&lt;=2.8,BC19&gt;2.4),"B",AND(BC19&lt;=2.4,BC19&gt;2),"C+",AND(BC19&lt;=2,BC19&gt;1.6),"C",BC19=1.6,"D",TRUE,"NG")</f>
        <v>B</v>
      </c>
      <c r="BE19" s="4" t="s">
        <v>63</v>
      </c>
      <c r="BF19" t="str" cm="1">
        <f t="array" ref="BF19">_xlfn.IFS(BE19="-","-",BE19/50*100&gt;=90,4,BE19/50*100&gt;=80,3.6,BE19/50*100&gt;=70,3.2,BE19/50*100&gt;=60,2.8,BE19/50*100&gt;=50,2.4,BE19/50*100&gt;=40,2,BE19/50*100&gt;=35,1.6,TRUE, 0)</f>
        <v>-</v>
      </c>
      <c r="BG19" t="str" cm="1">
        <f t="array" ref="BG19">_xlfn.IFS(BF19="-","-",BF19=4,"A+",BF19=3.6,"A",BF19=3.2,"B+",BF19=2.8,"B",BF19=2.4,"C+",BF19=2,"C",BF19=1.6,"D",TRUE,"NG")</f>
        <v>-</v>
      </c>
      <c r="BH19" s="4" t="s">
        <v>63</v>
      </c>
      <c r="BI19" t="str" cm="1">
        <f t="array" ref="BI19">_xlfn.IFS(BH19="-","-",BH19/50*100&gt;=90,4,BH19/50*100&gt;=80,3.6,BH19/50*100&gt;=70,3.2,BH19/50*100&gt;=60,2.8,BH19/50*100&gt;=50,2.4,BH19/50*100&gt;=40,2,BH19/50*100&gt;=35,1.6,TRUE, 0)</f>
        <v>-</v>
      </c>
      <c r="BJ19" t="str" cm="1">
        <f t="array" ref="BJ19">_xlfn.IFS(BI19="-","-",BI19=4,"A+",BI19=3.6,"A",BI19=3.2,"B+",BI19=2.8,"B",BI19=2.4,"C+",BI19=2,"C",BI19=1.6,"D",TRUE,"NG")</f>
        <v>-</v>
      </c>
      <c r="BK19" t="str">
        <f t="shared" si="7"/>
        <v>-</v>
      </c>
      <c r="BL19" t="str" cm="1">
        <f t="array" ref="BL19">_xlfn.IFS(BK19="-","-",AND(BK19&lt;=4,BK19&gt;3.6),"A+",AND(BK19&lt;=3.6,BK19&gt;3.2),"A",AND(BK19&lt;=3.2,BK19&gt;2.8),"B+",AND(BK19&lt;=2.8,BK19&gt;2.4),"B",AND(BK19&lt;=2.4,BK19&gt;2),"C+",AND(BK19&lt;=2,BK19&gt;1.6),"C",BK19=1.6,"D",TRUE,"NG")</f>
        <v>-</v>
      </c>
      <c r="BM19" s="9" cm="1">
        <f t="array" ref="BM19">_xlfn.IFS(AW19&lt;&gt;"-",((J19*3+M19*1)+(R19*2.25+U19*0.75)+(Z19*3.75+AC19*1.25)+(AH19*3.75+AK19*1.25)+(AP19*3.75+AS19*1.25)+(AX19*3.75+BA19*1.25))/(4+3+5*4),BE19&lt;&gt;"-",((J19*3+M19*1)+(R19*2.25+U19*0.75)+(Z19*3.75+AC19*1.25)+(AH19*3.75+AK19*1.25)+(AP19*3.75+AS19*1.25)+(BF19*2.5+BI19*2.5))/(4+3+5*4))</f>
        <v>2.674074074074074</v>
      </c>
    </row>
    <row r="20" spans="1:65" x14ac:dyDescent="0.3">
      <c r="A20" s="2">
        <v>119</v>
      </c>
      <c r="B20" s="12">
        <v>793270280040</v>
      </c>
      <c r="C20" s="13">
        <v>12706891</v>
      </c>
      <c r="D20" s="14" t="s">
        <v>85</v>
      </c>
      <c r="E20" s="3" t="s">
        <v>64</v>
      </c>
      <c r="F20" s="15">
        <v>58647</v>
      </c>
      <c r="G20" s="3" t="str">
        <f t="shared" si="0"/>
        <v>2060/07/25</v>
      </c>
      <c r="H20" s="3" t="str" cm="1">
        <f t="array" ref="H20">[1]!bs2ad(G20)</f>
        <v>2003-11-11</v>
      </c>
      <c r="I20" s="4">
        <v>43</v>
      </c>
      <c r="J20" s="5" cm="1">
        <f t="array" ref="J20">_xlfn.IFS(I20/75*100&gt;=90,4,I20/75*100&gt;=80,3.6,I20/75*100&gt;=70,3.2,I20/75*100&gt;=60,2.8,I20/75*100&gt;=50,2.4,I20/75*100&gt;=40,2,I20/75*100&gt;=35,1.6,TRUE, 0)</f>
        <v>2.4</v>
      </c>
      <c r="K20" s="5" t="str" cm="1">
        <f t="array" ref="K20">_xlfn.IFS(J20=4,"A+",J20=3.6,"A",J20=3.2,"B+",J20=2.8,"B",J20=2.4,"C+",J20=2,"C",J20=1.6,"D",TRUE,"NG")</f>
        <v>C+</v>
      </c>
      <c r="L20" s="4">
        <v>24</v>
      </c>
      <c r="M20" s="5" cm="1">
        <f t="array" ref="M20">_xlfn.IFS(L20/25*100&gt;=90,4,L20/25*100&gt;=80,3.6,L20/25*100&gt;=70,3.2,L20/25*100&gt;=60,2.8,L20/25*100&gt;=50,2.4,L20/25*100&gt;=40,2,L20/25*100&gt;=35,1.6,TRUE, 0)</f>
        <v>4</v>
      </c>
      <c r="N20" s="5" t="str" cm="1">
        <f t="array" ref="N20">_xlfn.IFS(M20=4,"A+",M20=3.6,"A",M20=3.2,"B+",M20=2.8,"B",M20=2.4,"C+",M20=2,"C",M20=1.6,"D",TRUE,"NG")</f>
        <v>A+</v>
      </c>
      <c r="O20" s="5">
        <f t="shared" si="1"/>
        <v>2.8</v>
      </c>
      <c r="P20" s="5" t="str" cm="1">
        <f t="array" ref="P20">_xlfn.IFS(AND(O20&lt;=4,O20&gt;3.6),"A+",AND(O20&lt;=3.6,O20&gt;3.2),"A",AND(O20&lt;=3.2,O20&gt;2.8),"B+",AND(O20&lt;=2.8,O20&gt;2.4),"B",AND(O20&lt;=2.4,O20&gt;2),"C+",AND(O20&lt;=2,O20&gt;1.6),"C",O20=1.6,"D",TRUE,"NG")</f>
        <v>B</v>
      </c>
      <c r="Q20" s="4">
        <v>41</v>
      </c>
      <c r="R20" s="5" cm="1">
        <f t="array" ref="R20">_xlfn.IFS(Q20/75*100&gt;=90,4,Q20/75*100&gt;=80,3.6,Q20/75*100&gt;=70,3.2,Q20/75*100&gt;=60,2.8,Q20/75*100&gt;=50,2.4,Q20/75*100&gt;=40,2,Q20/75*100&gt;=35,1.6,TRUE, 0)</f>
        <v>2.4</v>
      </c>
      <c r="S20" s="5" t="str" cm="1">
        <f t="array" ref="S20">_xlfn.IFS(R20=4,"A+",R20=3.6,"A",R20=3.2,"B+",R20=2.8,"B",R20=2.4,"C+",R20=2,"C",R20=1.6,"D",TRUE,"NG")</f>
        <v>C+</v>
      </c>
      <c r="T20" s="5" cm="1">
        <f t="array" ref="T20">_xlfn.IFS(Q20&gt;=70,25,Q20&gt;=60,24,Q20&gt;=50,23,Q20&gt;=40,22,Q20&gt;=30,21,TRUE,20)</f>
        <v>22</v>
      </c>
      <c r="U20" s="5" cm="1">
        <f t="array" ref="U20">_xlfn.IFS(T20/25*100&gt;=90,4,T20/25*100&gt;=80,3.6,T20/25*100&gt;=70,3.2,T20/25*100&gt;=60,2.8,T20/25*100&gt;=50,2.4,T20/25*100&gt;=40,2,T20/25*100&gt;=35,1.6,TRUE, 0)</f>
        <v>3.6</v>
      </c>
      <c r="V20" s="5" t="str" cm="1">
        <f t="array" ref="V20">_xlfn.IFS(U20=4,"A+",U20=3.6,"A",U20=3.2,"B+",U20=2.8,"B",U20=2.4,"C+",U20=2,"C",U20=1.6,"D",TRUE,"NG")</f>
        <v>A</v>
      </c>
      <c r="W20" s="5">
        <f t="shared" si="2"/>
        <v>2.6999999999999997</v>
      </c>
      <c r="X20" s="5" t="str" cm="1">
        <f t="array" ref="X20">_xlfn.IFS(AND(W20&lt;=4,W20&gt;3.6),"A+",AND(W20&lt;=3.6,W20&gt;3.2),"A",AND(W20&lt;=3.2,W20&gt;2.8),"B+",AND(W20&lt;=2.8,W20&gt;2.4),"B",AND(W20&lt;=2.4,W20&gt;2),"C+",AND(W20&lt;=2,W20&gt;1.6),"C",W20=1.6,"D",TRUE,"NG")</f>
        <v>B</v>
      </c>
      <c r="Y20" s="4">
        <v>9</v>
      </c>
      <c r="Z20" s="5" cm="1">
        <f t="array" ref="Z20">_xlfn.IFS(Y20/75*100&gt;=90,4,Y20/75*100&gt;=80,3.6,Y20/75*100&gt;=70,3.2,Y20/75*100&gt;=60,2.8,Y20/75*100&gt;=50,2.4,Y20/75*100&gt;=40,2,Y20/75*100&gt;=35,1.6,TRUE, 0)</f>
        <v>0</v>
      </c>
      <c r="AA20" s="5" t="str" cm="1">
        <f t="array" ref="AA20">_xlfn.IFS(Z20=4,"A+",Z20=3.6,"A",Z20=3.2,"B+",Z20=2.8,"B",Z20=2.4,"C+",Z20=2,"C",Z20=1.6,"D",TRUE,"NG")</f>
        <v>NG</v>
      </c>
      <c r="AB20" s="4">
        <v>23</v>
      </c>
      <c r="AC20" s="5" cm="1">
        <f t="array" ref="AC20">_xlfn.IFS(AB20/25*100&gt;=90,4,AB20/25*100&gt;=80,3.6,AB20/25*100&gt;=70,3.2,AB20/25*100&gt;=60,2.8,AB20/25*100&gt;=50,2.4,AB20/25*100&gt;=40,2,AB20/25*100&gt;=35,1.6,TRUE, 0)</f>
        <v>4</v>
      </c>
      <c r="AD20" s="5" t="str" cm="1">
        <f t="array" ref="AD20">_xlfn.IFS(AC20=4,"A+",AC20=3.6,"A",AC20=3.2,"B+",AC20=2.8,"B",AC20=2.4,"C+",AC20=2,"C",AC20=1.6,"D",TRUE,"NG")</f>
        <v>A+</v>
      </c>
      <c r="AE20" s="5">
        <f t="shared" si="3"/>
        <v>1</v>
      </c>
      <c r="AF20" s="5" t="str" cm="1">
        <f t="array" ref="AF20">_xlfn.IFS(AND(AE20&lt;=4,AE20&gt;3.6),"A+",AND(AE20&lt;=3.6,AE20&gt;3.2),"A",AND(AE20&lt;=3.2,AE20&gt;2.8),"B+",AND(AE20&lt;=2.8,AE20&gt;2.4),"B",AND(AE20&lt;=2.4,AE20&gt;2),"C+",AND(AE20&lt;=2,AE20&gt;1.6),"C",AE20=1.6,"D",TRUE,"NG")</f>
        <v>NG</v>
      </c>
      <c r="AG20" s="4">
        <v>54</v>
      </c>
      <c r="AH20" s="5" cm="1">
        <f t="array" ref="AH20">_xlfn.IFS(AG20/75*100&gt;=90,4,AG20/75*100&gt;=80,3.6,AG20/75*100&gt;=70,3.2,AG20/75*100&gt;=60,2.8,AG20/75*100&gt;=50,2.4,AG20/75*100&gt;=40,2,AG20/75*100&gt;=35,1.6,TRUE, 0)</f>
        <v>3.2</v>
      </c>
      <c r="AI20" s="5" t="str" cm="1">
        <f t="array" ref="AI20">_xlfn.IFS(AH20=4,"A+",AH20=3.6,"A",AH20=3.2,"B+",AH20=2.8,"B",AH20=2.4,"C+",AH20=2,"C",AH20=1.6,"D",TRUE,"NG")</f>
        <v>B+</v>
      </c>
      <c r="AJ20" s="4">
        <v>22</v>
      </c>
      <c r="AK20" s="5" cm="1">
        <f t="array" ref="AK20">_xlfn.IFS(AJ20/25*100&gt;=90,4,AJ20/25*100&gt;=80,3.6,AJ20/25*100&gt;=70,3.2,AJ20/25*100&gt;=60,2.8,AJ20/25*100&gt;=50,2.4,AJ20/25*100&gt;=40,2,AJ20/25*100&gt;=35,1.6,TRUE, 0)</f>
        <v>3.6</v>
      </c>
      <c r="AL20" s="5" t="str" cm="1">
        <f t="array" ref="AL20">_xlfn.IFS(AK20=4,"A+",AK20=3.6,"A",AK20=3.2,"B+",AK20=2.8,"B",AK20=2.4,"C+",AK20=2,"C",AK20=1.6,"D",TRUE,"NG")</f>
        <v>A</v>
      </c>
      <c r="AM20" s="5">
        <f t="shared" si="4"/>
        <v>3.3</v>
      </c>
      <c r="AN20" s="5" t="str" cm="1">
        <f t="array" ref="AN20">_xlfn.IFS(AND(AM20&lt;=4,AM20&gt;3.6),"A+",AND(AM20&lt;=3.6,AM20&gt;3.2),"A",AND(AM20&lt;=3.2,AM20&gt;2.8),"B+",AND(AM20&lt;=2.8,AM20&gt;2.4),"B",AND(AM20&lt;=2.4,AM20&gt;2),"C+",AND(AM20&lt;=2,AM20&gt;1.6),"C",AM20=1.6,"D",TRUE,"NG")</f>
        <v>A</v>
      </c>
      <c r="AO20" s="4">
        <v>40</v>
      </c>
      <c r="AP20" s="5" cm="1">
        <f t="array" ref="AP20">_xlfn.IFS(AO20/75*100&gt;=90,4,AO20/75*100&gt;=80,3.6,AO20/75*100&gt;=70,3.2,AO20/75*100&gt;=60,2.8,AO20/75*100&gt;=50,2.4,AO20/75*100&gt;=40,2,AO20/75*100&gt;=35,1.6,TRUE, 0)</f>
        <v>2.4</v>
      </c>
      <c r="AQ20" s="5" t="str" cm="1">
        <f t="array" ref="AQ20">_xlfn.IFS(AP20=4,"A+",AP20=3.6,"A",AP20=3.2,"B+",AP20=2.8,"B",AP20=2.4,"C+",AP20=2,"C",AP20=1.6,"D",TRUE,"NG")</f>
        <v>C+</v>
      </c>
      <c r="AR20" s="5" cm="1">
        <f t="array" ref="AR20">_xlfn.IFS(AO20&gt;=70,25,AO20&gt;=60,24,AO20&gt;=50,23,AO20&gt;=40,22,AO20&gt;=30,21,TRUE,20)</f>
        <v>22</v>
      </c>
      <c r="AS20" s="5" cm="1">
        <f t="array" ref="AS20">_xlfn.IFS(AR20/25*100&gt;=90,4,AR20/25*100&gt;=80,3.6,AR20/25*100&gt;=70,3.2,AR20/25*100&gt;=60,2.8,AR20/25*100&gt;=50,2.4,AR20/25*100&gt;=40,2,AR20/25*100&gt;=35,1.6,TRUE, 0)</f>
        <v>3.6</v>
      </c>
      <c r="AT20" s="5" t="str" cm="1">
        <f t="array" ref="AT20">_xlfn.IFS(AS20=4,"A+",AS20=3.6,"A",AS20=3.2,"B+",AS20=2.8,"B",AS20=2.4,"C+",AS20=2,"C",AS20=1.6,"D",TRUE,"NG")</f>
        <v>A</v>
      </c>
      <c r="AU20" s="5">
        <f t="shared" si="5"/>
        <v>2.7</v>
      </c>
      <c r="AV20" s="5" t="str" cm="1">
        <f t="array" ref="AV20">_xlfn.IFS(AND(AU20&lt;=4,AU20&gt;3.6),"A+",AND(AU20&lt;=3.6,AU20&gt;3.2),"A",AND(AU20&lt;=3.2,AU20&gt;2.8),"B+",AND(AU20&lt;=2.8,AU20&gt;2.4),"B",AND(AU20&lt;=2.4,AU20&gt;2),"C+",AND(AU20&lt;=2,AU20&gt;1.6),"C",AU20=1.6,"D",TRUE,"NG")</f>
        <v>B</v>
      </c>
      <c r="AW20" s="4">
        <v>32</v>
      </c>
      <c r="AX20" s="5" cm="1">
        <f t="array" ref="AX20">_xlfn.IFS(AW20="-","-",AW20/75*100&gt;=90,4,AW20/75*100&gt;=80,3.6,AW20/75*100&gt;=70,3.2,AW20/75*100&gt;=60,2.8,AW20/75*100&gt;=50,2.4,AW20/75*100&gt;=40,2,AW20/75*100&gt;=35,1.6,TRUE, 0)</f>
        <v>2</v>
      </c>
      <c r="AY20" s="5" t="str" cm="1">
        <f t="array" ref="AY20">_xlfn.IFS(AX20="-","-",AX20=4,"A+",AX20=3.6,"A",AX20=3.2,"B+",AX20=2.8,"B",AX20=2.4,"C+",AX20=2,"C",AX20=1.6,"D",TRUE,"NG")</f>
        <v>C</v>
      </c>
      <c r="AZ20" s="4">
        <v>20</v>
      </c>
      <c r="BA20" s="5" cm="1">
        <f t="array" ref="BA20">_xlfn.IFS(AZ20="-","-",AZ20/25*100&gt;=90,4,AZ20/25*100&gt;=80,3.6,AZ20/25*100&gt;=70,3.2,AZ20/25*100&gt;=60,2.8,AZ20/25*100&gt;=50,2.4,AZ20/25*100&gt;=40,2,AZ20/25*100&gt;=35,1.6,TRUE, 0)</f>
        <v>3.6</v>
      </c>
      <c r="BB20" s="5" t="str" cm="1">
        <f t="array" ref="BB20">_xlfn.IFS(BA20="-","-",BA20=4,"A+",BA20=3.6,"A",BA20=3.2,"B+",BA20=2.8,"B",BA20=2.4,"C+",BA20=2,"C",BA20=1.6,"D",TRUE,"NG")</f>
        <v>A</v>
      </c>
      <c r="BC20" s="5">
        <f t="shared" si="6"/>
        <v>2.4</v>
      </c>
      <c r="BD20" s="5" t="str" cm="1">
        <f t="array" ref="BD20">_xlfn.IFS(BC20="-","-",AND(BC20&lt;=4,BC20&gt;3.6),"A+",AND(BC20&lt;=3.6,BC20&gt;3.2),"A",AND(BC20&lt;=3.2,BC20&gt;2.8),"B+",AND(BC20&lt;=2.8,BC20&gt;2.4),"B",AND(BC20&lt;=2.4,BC20&gt;2),"C+",AND(BC20&lt;=2,BC20&gt;1.6),"C",BC20=1.6,"D",TRUE,"NG")</f>
        <v>C+</v>
      </c>
      <c r="BE20" s="4" t="s">
        <v>63</v>
      </c>
      <c r="BF20" t="str" cm="1">
        <f t="array" ref="BF20">_xlfn.IFS(BE20="-","-",BE20/50*100&gt;=90,4,BE20/50*100&gt;=80,3.6,BE20/50*100&gt;=70,3.2,BE20/50*100&gt;=60,2.8,BE20/50*100&gt;=50,2.4,BE20/50*100&gt;=40,2,BE20/50*100&gt;=35,1.6,TRUE, 0)</f>
        <v>-</v>
      </c>
      <c r="BG20" t="str" cm="1">
        <f t="array" ref="BG20">_xlfn.IFS(BF20="-","-",BF20=4,"A+",BF20=3.6,"A",BF20=3.2,"B+",BF20=2.8,"B",BF20=2.4,"C+",BF20=2,"C",BF20=1.6,"D",TRUE,"NG")</f>
        <v>-</v>
      </c>
      <c r="BH20" s="4" t="s">
        <v>63</v>
      </c>
      <c r="BI20" t="str" cm="1">
        <f t="array" ref="BI20">_xlfn.IFS(BH20="-","-",BH20/50*100&gt;=90,4,BH20/50*100&gt;=80,3.6,BH20/50*100&gt;=70,3.2,BH20/50*100&gt;=60,2.8,BH20/50*100&gt;=50,2.4,BH20/50*100&gt;=40,2,BH20/50*100&gt;=35,1.6,TRUE, 0)</f>
        <v>-</v>
      </c>
      <c r="BJ20" t="str" cm="1">
        <f t="array" ref="BJ20">_xlfn.IFS(BI20="-","-",BI20=4,"A+",BI20=3.6,"A",BI20=3.2,"B+",BI20=2.8,"B",BI20=2.4,"C+",BI20=2,"C",BI20=1.6,"D",TRUE,"NG")</f>
        <v>-</v>
      </c>
      <c r="BK20" t="str">
        <f t="shared" si="7"/>
        <v>-</v>
      </c>
      <c r="BL20" t="str" cm="1">
        <f t="array" ref="BL20">_xlfn.IFS(BK20="-","-",AND(BK20&lt;=4,BK20&gt;3.6),"A+",AND(BK20&lt;=3.6,BK20&gt;3.2),"A",AND(BK20&lt;=3.2,BK20&gt;2.8),"B+",AND(BK20&lt;=2.8,BK20&gt;2.4),"B",AND(BK20&lt;=2.4,BK20&gt;2),"C+",AND(BK20&lt;=2,BK20&gt;1.6),"C",BK20=1.6,"D",TRUE,"NG")</f>
        <v>-</v>
      </c>
      <c r="BM20" s="9" cm="1">
        <f t="array" ref="BM20">_xlfn.IFS(AW20&lt;&gt;"-",((J20*3+M20*1)+(R20*2.25+U20*0.75)+(Z20*3.75+AC20*1.25)+(AH20*3.75+AK20*1.25)+(AP20*3.75+AS20*1.25)+(AX20*3.75+BA20*1.25))/(4+3+5*4),BE20&lt;&gt;"-",((J20*3+M20*1)+(R20*2.25+U20*0.75)+(Z20*3.75+AC20*1.25)+(AH20*3.75+AK20*1.25)+(AP20*3.75+AS20*1.25)+(BF20*2.5+BI20*2.5))/(4+3+5*4))</f>
        <v>2.4555555555555553</v>
      </c>
    </row>
    <row r="21" spans="1:65" x14ac:dyDescent="0.3">
      <c r="A21" s="2">
        <v>120</v>
      </c>
      <c r="B21" s="12">
        <v>793270280041</v>
      </c>
      <c r="C21" s="13">
        <v>12706892</v>
      </c>
      <c r="D21" s="14" t="s">
        <v>86</v>
      </c>
      <c r="E21" s="3" t="s">
        <v>64</v>
      </c>
      <c r="F21" s="15">
        <v>59773</v>
      </c>
      <c r="G21" s="3" t="str">
        <f t="shared" si="0"/>
        <v>2063/08/25</v>
      </c>
      <c r="H21" s="3" t="str" cm="1">
        <f t="array" ref="H21">[1]!bs2ad(G21)</f>
        <v>2006-12-11</v>
      </c>
      <c r="I21" s="4">
        <v>37</v>
      </c>
      <c r="J21" s="5" cm="1">
        <f t="array" ref="J21">_xlfn.IFS(I21/75*100&gt;=90,4,I21/75*100&gt;=80,3.6,I21/75*100&gt;=70,3.2,I21/75*100&gt;=60,2.8,I21/75*100&gt;=50,2.4,I21/75*100&gt;=40,2,I21/75*100&gt;=35,1.6,TRUE, 0)</f>
        <v>2</v>
      </c>
      <c r="K21" s="5" t="str" cm="1">
        <f t="array" ref="K21">_xlfn.IFS(J21=4,"A+",J21=3.6,"A",J21=3.2,"B+",J21=2.8,"B",J21=2.4,"C+",J21=2,"C",J21=1.6,"D",TRUE,"NG")</f>
        <v>C</v>
      </c>
      <c r="L21" s="4">
        <v>23</v>
      </c>
      <c r="M21" s="5" cm="1">
        <f t="array" ref="M21">_xlfn.IFS(L21/25*100&gt;=90,4,L21/25*100&gt;=80,3.6,L21/25*100&gt;=70,3.2,L21/25*100&gt;=60,2.8,L21/25*100&gt;=50,2.4,L21/25*100&gt;=40,2,L21/25*100&gt;=35,1.6,TRUE, 0)</f>
        <v>4</v>
      </c>
      <c r="N21" s="5" t="str" cm="1">
        <f t="array" ref="N21">_xlfn.IFS(M21=4,"A+",M21=3.6,"A",M21=3.2,"B+",M21=2.8,"B",M21=2.4,"C+",M21=2,"C",M21=1.6,"D",TRUE,"NG")</f>
        <v>A+</v>
      </c>
      <c r="O21" s="5">
        <f t="shared" si="1"/>
        <v>2.5</v>
      </c>
      <c r="P21" s="5" t="str" cm="1">
        <f t="array" ref="P21">_xlfn.IFS(AND(O21&lt;=4,O21&gt;3.6),"A+",AND(O21&lt;=3.6,O21&gt;3.2),"A",AND(O21&lt;=3.2,O21&gt;2.8),"B+",AND(O21&lt;=2.8,O21&gt;2.4),"B",AND(O21&lt;=2.4,O21&gt;2),"C+",AND(O21&lt;=2,O21&gt;1.6),"C",O21=1.6,"D",TRUE,"NG")</f>
        <v>B</v>
      </c>
      <c r="Q21" s="4">
        <v>39</v>
      </c>
      <c r="R21" s="5" cm="1">
        <f t="array" ref="R21">_xlfn.IFS(Q21/75*100&gt;=90,4,Q21/75*100&gt;=80,3.6,Q21/75*100&gt;=70,3.2,Q21/75*100&gt;=60,2.8,Q21/75*100&gt;=50,2.4,Q21/75*100&gt;=40,2,Q21/75*100&gt;=35,1.6,TRUE, 0)</f>
        <v>2.4</v>
      </c>
      <c r="S21" s="5" t="str" cm="1">
        <f t="array" ref="S21">_xlfn.IFS(R21=4,"A+",R21=3.6,"A",R21=3.2,"B+",R21=2.8,"B",R21=2.4,"C+",R21=2,"C",R21=1.6,"D",TRUE,"NG")</f>
        <v>C+</v>
      </c>
      <c r="T21" s="5" cm="1">
        <f t="array" ref="T21">_xlfn.IFS(Q21&gt;=70,25,Q21&gt;=60,24,Q21&gt;=50,23,Q21&gt;=40,22,Q21&gt;=30,21,TRUE,20)</f>
        <v>21</v>
      </c>
      <c r="U21" s="5" cm="1">
        <f t="array" ref="U21">_xlfn.IFS(T21/25*100&gt;=90,4,T21/25*100&gt;=80,3.6,T21/25*100&gt;=70,3.2,T21/25*100&gt;=60,2.8,T21/25*100&gt;=50,2.4,T21/25*100&gt;=40,2,T21/25*100&gt;=35,1.6,TRUE, 0)</f>
        <v>3.6</v>
      </c>
      <c r="V21" s="5" t="str" cm="1">
        <f t="array" ref="V21">_xlfn.IFS(U21=4,"A+",U21=3.6,"A",U21=3.2,"B+",U21=2.8,"B",U21=2.4,"C+",U21=2,"C",U21=1.6,"D",TRUE,"NG")</f>
        <v>A</v>
      </c>
      <c r="W21" s="5">
        <f t="shared" si="2"/>
        <v>2.6999999999999997</v>
      </c>
      <c r="X21" s="5" t="str" cm="1">
        <f t="array" ref="X21">_xlfn.IFS(AND(W21&lt;=4,W21&gt;3.6),"A+",AND(W21&lt;=3.6,W21&gt;3.2),"A",AND(W21&lt;=3.2,W21&gt;2.8),"B+",AND(W21&lt;=2.8,W21&gt;2.4),"B",AND(W21&lt;=2.4,W21&gt;2),"C+",AND(W21&lt;=2,W21&gt;1.6),"C",W21=1.6,"D",TRUE,"NG")</f>
        <v>B</v>
      </c>
      <c r="Y21" s="4">
        <v>42</v>
      </c>
      <c r="Z21" s="5" cm="1">
        <f t="array" ref="Z21">_xlfn.IFS(Y21/75*100&gt;=90,4,Y21/75*100&gt;=80,3.6,Y21/75*100&gt;=70,3.2,Y21/75*100&gt;=60,2.8,Y21/75*100&gt;=50,2.4,Y21/75*100&gt;=40,2,Y21/75*100&gt;=35,1.6,TRUE, 0)</f>
        <v>2.4</v>
      </c>
      <c r="AA21" s="5" t="str" cm="1">
        <f t="array" ref="AA21">_xlfn.IFS(Z21=4,"A+",Z21=3.6,"A",Z21=3.2,"B+",Z21=2.8,"B",Z21=2.4,"C+",Z21=2,"C",Z21=1.6,"D",TRUE,"NG")</f>
        <v>C+</v>
      </c>
      <c r="AB21" s="4">
        <v>23</v>
      </c>
      <c r="AC21" s="5" cm="1">
        <f t="array" ref="AC21">_xlfn.IFS(AB21/25*100&gt;=90,4,AB21/25*100&gt;=80,3.6,AB21/25*100&gt;=70,3.2,AB21/25*100&gt;=60,2.8,AB21/25*100&gt;=50,2.4,AB21/25*100&gt;=40,2,AB21/25*100&gt;=35,1.6,TRUE, 0)</f>
        <v>4</v>
      </c>
      <c r="AD21" s="5" t="str" cm="1">
        <f t="array" ref="AD21">_xlfn.IFS(AC21=4,"A+",AC21=3.6,"A",AC21=3.2,"B+",AC21=2.8,"B",AC21=2.4,"C+",AC21=2,"C",AC21=1.6,"D",TRUE,"NG")</f>
        <v>A+</v>
      </c>
      <c r="AE21" s="5">
        <f t="shared" si="3"/>
        <v>2.8</v>
      </c>
      <c r="AF21" s="5" t="str" cm="1">
        <f t="array" ref="AF21">_xlfn.IFS(AND(AE21&lt;=4,AE21&gt;3.6),"A+",AND(AE21&lt;=3.6,AE21&gt;3.2),"A",AND(AE21&lt;=3.2,AE21&gt;2.8),"B+",AND(AE21&lt;=2.8,AE21&gt;2.4),"B",AND(AE21&lt;=2.4,AE21&gt;2),"C+",AND(AE21&lt;=2,AE21&gt;1.6),"C",AE21=1.6,"D",TRUE,"NG")</f>
        <v>B</v>
      </c>
      <c r="AG21" s="4">
        <v>63</v>
      </c>
      <c r="AH21" s="5" cm="1">
        <f t="array" ref="AH21">_xlfn.IFS(AG21/75*100&gt;=90,4,AG21/75*100&gt;=80,3.6,AG21/75*100&gt;=70,3.2,AG21/75*100&gt;=60,2.8,AG21/75*100&gt;=50,2.4,AG21/75*100&gt;=40,2,AG21/75*100&gt;=35,1.6,TRUE, 0)</f>
        <v>3.6</v>
      </c>
      <c r="AI21" s="5" t="str" cm="1">
        <f t="array" ref="AI21">_xlfn.IFS(AH21=4,"A+",AH21=3.6,"A",AH21=3.2,"B+",AH21=2.8,"B",AH21=2.4,"C+",AH21=2,"C",AH21=1.6,"D",TRUE,"NG")</f>
        <v>A</v>
      </c>
      <c r="AJ21" s="4">
        <v>23</v>
      </c>
      <c r="AK21" s="5" cm="1">
        <f t="array" ref="AK21">_xlfn.IFS(AJ21/25*100&gt;=90,4,AJ21/25*100&gt;=80,3.6,AJ21/25*100&gt;=70,3.2,AJ21/25*100&gt;=60,2.8,AJ21/25*100&gt;=50,2.4,AJ21/25*100&gt;=40,2,AJ21/25*100&gt;=35,1.6,TRUE, 0)</f>
        <v>4</v>
      </c>
      <c r="AL21" s="5" t="str" cm="1">
        <f t="array" ref="AL21">_xlfn.IFS(AK21=4,"A+",AK21=3.6,"A",AK21=3.2,"B+",AK21=2.8,"B",AK21=2.4,"C+",AK21=2,"C",AK21=1.6,"D",TRUE,"NG")</f>
        <v>A+</v>
      </c>
      <c r="AM21" s="5">
        <f t="shared" si="4"/>
        <v>3.7</v>
      </c>
      <c r="AN21" s="5" t="str" cm="1">
        <f t="array" ref="AN21">_xlfn.IFS(AND(AM21&lt;=4,AM21&gt;3.6),"A+",AND(AM21&lt;=3.6,AM21&gt;3.2),"A",AND(AM21&lt;=3.2,AM21&gt;2.8),"B+",AND(AM21&lt;=2.8,AM21&gt;2.4),"B",AND(AM21&lt;=2.4,AM21&gt;2),"C+",AND(AM21&lt;=2,AM21&gt;1.6),"C",AM21=1.6,"D",TRUE,"NG")</f>
        <v>A+</v>
      </c>
      <c r="AO21" s="4">
        <v>47</v>
      </c>
      <c r="AP21" s="5" cm="1">
        <f t="array" ref="AP21">_xlfn.IFS(AO21/75*100&gt;=90,4,AO21/75*100&gt;=80,3.6,AO21/75*100&gt;=70,3.2,AO21/75*100&gt;=60,2.8,AO21/75*100&gt;=50,2.4,AO21/75*100&gt;=40,2,AO21/75*100&gt;=35,1.6,TRUE, 0)</f>
        <v>2.8</v>
      </c>
      <c r="AQ21" s="5" t="str" cm="1">
        <f t="array" ref="AQ21">_xlfn.IFS(AP21=4,"A+",AP21=3.6,"A",AP21=3.2,"B+",AP21=2.8,"B",AP21=2.4,"C+",AP21=2,"C",AP21=1.6,"D",TRUE,"NG")</f>
        <v>B</v>
      </c>
      <c r="AR21" s="5" cm="1">
        <f t="array" ref="AR21">_xlfn.IFS(AO21&gt;=70,25,AO21&gt;=60,24,AO21&gt;=50,23,AO21&gt;=40,22,AO21&gt;=30,21,TRUE,20)</f>
        <v>22</v>
      </c>
      <c r="AS21" s="5" cm="1">
        <f t="array" ref="AS21">_xlfn.IFS(AR21/25*100&gt;=90,4,AR21/25*100&gt;=80,3.6,AR21/25*100&gt;=70,3.2,AR21/25*100&gt;=60,2.8,AR21/25*100&gt;=50,2.4,AR21/25*100&gt;=40,2,AR21/25*100&gt;=35,1.6,TRUE, 0)</f>
        <v>3.6</v>
      </c>
      <c r="AT21" s="5" t="str" cm="1">
        <f t="array" ref="AT21">_xlfn.IFS(AS21=4,"A+",AS21=3.6,"A",AS21=3.2,"B+",AS21=2.8,"B",AS21=2.4,"C+",AS21=2,"C",AS21=1.6,"D",TRUE,"NG")</f>
        <v>A</v>
      </c>
      <c r="AU21" s="5">
        <f t="shared" si="5"/>
        <v>3</v>
      </c>
      <c r="AV21" s="5" t="str" cm="1">
        <f t="array" ref="AV21">_xlfn.IFS(AND(AU21&lt;=4,AU21&gt;3.6),"A+",AND(AU21&lt;=3.6,AU21&gt;3.2),"A",AND(AU21&lt;=3.2,AU21&gt;2.8),"B+",AND(AU21&lt;=2.8,AU21&gt;2.4),"B",AND(AU21&lt;=2.4,AU21&gt;2),"C+",AND(AU21&lt;=2,AU21&gt;1.6),"C",AU21=1.6,"D",TRUE,"NG")</f>
        <v>B+</v>
      </c>
      <c r="AW21" s="4">
        <v>35</v>
      </c>
      <c r="AX21" s="5" cm="1">
        <f t="array" ref="AX21">_xlfn.IFS(AW21="-","-",AW21/75*100&gt;=90,4,AW21/75*100&gt;=80,3.6,AW21/75*100&gt;=70,3.2,AW21/75*100&gt;=60,2.8,AW21/75*100&gt;=50,2.4,AW21/75*100&gt;=40,2,AW21/75*100&gt;=35,1.6,TRUE, 0)</f>
        <v>2</v>
      </c>
      <c r="AY21" s="5" t="str" cm="1">
        <f t="array" ref="AY21">_xlfn.IFS(AX21="-","-",AX21=4,"A+",AX21=3.6,"A",AX21=3.2,"B+",AX21=2.8,"B",AX21=2.4,"C+",AX21=2,"C",AX21=1.6,"D",TRUE,"NG")</f>
        <v>C</v>
      </c>
      <c r="AZ21" s="4">
        <v>21</v>
      </c>
      <c r="BA21" s="5" cm="1">
        <f t="array" ref="BA21">_xlfn.IFS(AZ21="-","-",AZ21/25*100&gt;=90,4,AZ21/25*100&gt;=80,3.6,AZ21/25*100&gt;=70,3.2,AZ21/25*100&gt;=60,2.8,AZ21/25*100&gt;=50,2.4,AZ21/25*100&gt;=40,2,AZ21/25*100&gt;=35,1.6,TRUE, 0)</f>
        <v>3.6</v>
      </c>
      <c r="BB21" s="5" t="str" cm="1">
        <f t="array" ref="BB21">_xlfn.IFS(BA21="-","-",BA21=4,"A+",BA21=3.6,"A",BA21=3.2,"B+",BA21=2.8,"B",BA21=2.4,"C+",BA21=2,"C",BA21=1.6,"D",TRUE,"NG")</f>
        <v>A</v>
      </c>
      <c r="BC21" s="5">
        <f t="shared" si="6"/>
        <v>2.4</v>
      </c>
      <c r="BD21" s="5" t="str" cm="1">
        <f t="array" ref="BD21">_xlfn.IFS(BC21="-","-",AND(BC21&lt;=4,BC21&gt;3.6),"A+",AND(BC21&lt;=3.6,BC21&gt;3.2),"A",AND(BC21&lt;=3.2,BC21&gt;2.8),"B+",AND(BC21&lt;=2.8,BC21&gt;2.4),"B",AND(BC21&lt;=2.4,BC21&gt;2),"C+",AND(BC21&lt;=2,BC21&gt;1.6),"C",BC21=1.6,"D",TRUE,"NG")</f>
        <v>C+</v>
      </c>
      <c r="BE21" s="4" t="s">
        <v>63</v>
      </c>
      <c r="BF21" t="str" cm="1">
        <f t="array" ref="BF21">_xlfn.IFS(BE21="-","-",BE21/50*100&gt;=90,4,BE21/50*100&gt;=80,3.6,BE21/50*100&gt;=70,3.2,BE21/50*100&gt;=60,2.8,BE21/50*100&gt;=50,2.4,BE21/50*100&gt;=40,2,BE21/50*100&gt;=35,1.6,TRUE, 0)</f>
        <v>-</v>
      </c>
      <c r="BG21" t="str" cm="1">
        <f t="array" ref="BG21">_xlfn.IFS(BF21="-","-",BF21=4,"A+",BF21=3.6,"A",BF21=3.2,"B+",BF21=2.8,"B",BF21=2.4,"C+",BF21=2,"C",BF21=1.6,"D",TRUE,"NG")</f>
        <v>-</v>
      </c>
      <c r="BH21" s="4" t="s">
        <v>63</v>
      </c>
      <c r="BI21" t="str" cm="1">
        <f t="array" ref="BI21">_xlfn.IFS(BH21="-","-",BH21/50*100&gt;=90,4,BH21/50*100&gt;=80,3.6,BH21/50*100&gt;=70,3.2,BH21/50*100&gt;=60,2.8,BH21/50*100&gt;=50,2.4,BH21/50*100&gt;=40,2,BH21/50*100&gt;=35,1.6,TRUE, 0)</f>
        <v>-</v>
      </c>
      <c r="BJ21" t="str" cm="1">
        <f t="array" ref="BJ21">_xlfn.IFS(BI21="-","-",BI21=4,"A+",BI21=3.6,"A",BI21=3.2,"B+",BI21=2.8,"B",BI21=2.4,"C+",BI21=2,"C",BI21=1.6,"D",TRUE,"NG")</f>
        <v>-</v>
      </c>
      <c r="BK21" t="str">
        <f t="shared" si="7"/>
        <v>-</v>
      </c>
      <c r="BL21" t="str" cm="1">
        <f t="array" ref="BL21">_xlfn.IFS(BK21="-","-",AND(BK21&lt;=4,BK21&gt;3.6),"A+",AND(BK21&lt;=3.6,BK21&gt;3.2),"A",AND(BK21&lt;=3.2,BK21&gt;2.8),"B+",AND(BK21&lt;=2.8,BK21&gt;2.4),"B",AND(BK21&lt;=2.4,BK21&gt;2),"C+",AND(BK21&lt;=2,BK21&gt;1.6),"C",BK21=1.6,"D",TRUE,"NG")</f>
        <v>-</v>
      </c>
      <c r="BM21" s="9" cm="1">
        <f t="array" ref="BM21">_xlfn.IFS(AW21&lt;&gt;"-",((J21*3+M21*1)+(R21*2.25+U21*0.75)+(Z21*3.75+AC21*1.25)+(AH21*3.75+AK21*1.25)+(AP21*3.75+AS21*1.25)+(AX21*3.75+BA21*1.25))/(4+3+5*4),BE21&lt;&gt;"-",((J21*3+M21*1)+(R21*2.25+U21*0.75)+(Z21*3.75+AC21*1.25)+(AH21*3.75+AK21*1.25)+(AP21*3.75+AS21*1.25)+(BF21*2.5+BI21*2.5))/(4+3+5*4))</f>
        <v>2.8740740740740738</v>
      </c>
    </row>
    <row r="22" spans="1:65" x14ac:dyDescent="0.3">
      <c r="A22" s="2">
        <v>121</v>
      </c>
      <c r="B22" s="12">
        <v>793270280045</v>
      </c>
      <c r="C22" s="13">
        <v>12706896</v>
      </c>
      <c r="D22" s="14" t="s">
        <v>87</v>
      </c>
      <c r="E22" s="3" t="s">
        <v>64</v>
      </c>
      <c r="F22" s="15">
        <v>58826</v>
      </c>
      <c r="G22" s="3" t="str">
        <f t="shared" si="0"/>
        <v>2061/01/20</v>
      </c>
      <c r="H22" s="3" t="str" cm="1">
        <f t="array" ref="H22">[1]!bs2ad(G22)</f>
        <v>2004-5-2</v>
      </c>
      <c r="I22" s="4">
        <v>66</v>
      </c>
      <c r="J22" s="5" cm="1">
        <f t="array" ref="J22">_xlfn.IFS(I22/75*100&gt;=90,4,I22/75*100&gt;=80,3.6,I22/75*100&gt;=70,3.2,I22/75*100&gt;=60,2.8,I22/75*100&gt;=50,2.4,I22/75*100&gt;=40,2,I22/75*100&gt;=35,1.6,TRUE, 0)</f>
        <v>3.6</v>
      </c>
      <c r="K22" s="5" t="str" cm="1">
        <f t="array" ref="K22">_xlfn.IFS(J22=4,"A+",J22=3.6,"A",J22=3.2,"B+",J22=2.8,"B",J22=2.4,"C+",J22=2,"C",J22=1.6,"D",TRUE,"NG")</f>
        <v>A</v>
      </c>
      <c r="L22" s="4">
        <v>25</v>
      </c>
      <c r="M22" s="5" cm="1">
        <f t="array" ref="M22">_xlfn.IFS(L22/25*100&gt;=90,4,L22/25*100&gt;=80,3.6,L22/25*100&gt;=70,3.2,L22/25*100&gt;=60,2.8,L22/25*100&gt;=50,2.4,L22/25*100&gt;=40,2,L22/25*100&gt;=35,1.6,TRUE, 0)</f>
        <v>4</v>
      </c>
      <c r="N22" s="5" t="str" cm="1">
        <f t="array" ref="N22">_xlfn.IFS(M22=4,"A+",M22=3.6,"A",M22=3.2,"B+",M22=2.8,"B",M22=2.4,"C+",M22=2,"C",M22=1.6,"D",TRUE,"NG")</f>
        <v>A+</v>
      </c>
      <c r="O22" s="5">
        <f t="shared" si="1"/>
        <v>3.7</v>
      </c>
      <c r="P22" s="5" t="str" cm="1">
        <f t="array" ref="P22">_xlfn.IFS(AND(O22&lt;=4,O22&gt;3.6),"A+",AND(O22&lt;=3.6,O22&gt;3.2),"A",AND(O22&lt;=3.2,O22&gt;2.8),"B+",AND(O22&lt;=2.8,O22&gt;2.4),"B",AND(O22&lt;=2.4,O22&gt;2),"C+",AND(O22&lt;=2,O22&gt;1.6),"C",O22=1.6,"D",TRUE,"NG")</f>
        <v>A+</v>
      </c>
      <c r="Q22" s="4">
        <v>59</v>
      </c>
      <c r="R22" s="5" cm="1">
        <f t="array" ref="R22">_xlfn.IFS(Q22/75*100&gt;=90,4,Q22/75*100&gt;=80,3.6,Q22/75*100&gt;=70,3.2,Q22/75*100&gt;=60,2.8,Q22/75*100&gt;=50,2.4,Q22/75*100&gt;=40,2,Q22/75*100&gt;=35,1.6,TRUE, 0)</f>
        <v>3.2</v>
      </c>
      <c r="S22" s="5" t="str" cm="1">
        <f t="array" ref="S22">_xlfn.IFS(R22=4,"A+",R22=3.6,"A",R22=3.2,"B+",R22=2.8,"B",R22=2.4,"C+",R22=2,"C",R22=1.6,"D",TRUE,"NG")</f>
        <v>B+</v>
      </c>
      <c r="T22" s="5" cm="1">
        <f t="array" ref="T22">_xlfn.IFS(Q22&gt;=70,25,Q22&gt;=60,24,Q22&gt;=50,23,Q22&gt;=40,22,Q22&gt;=30,21,TRUE,20)</f>
        <v>23</v>
      </c>
      <c r="U22" s="5" cm="1">
        <f t="array" ref="U22">_xlfn.IFS(T22/25*100&gt;=90,4,T22/25*100&gt;=80,3.6,T22/25*100&gt;=70,3.2,T22/25*100&gt;=60,2.8,T22/25*100&gt;=50,2.4,T22/25*100&gt;=40,2,T22/25*100&gt;=35,1.6,TRUE, 0)</f>
        <v>4</v>
      </c>
      <c r="V22" s="5" t="str" cm="1">
        <f t="array" ref="V22">_xlfn.IFS(U22=4,"A+",U22=3.6,"A",U22=3.2,"B+",U22=2.8,"B",U22=2.4,"C+",U22=2,"C",U22=1.6,"D",TRUE,"NG")</f>
        <v>A+</v>
      </c>
      <c r="W22" s="5">
        <f t="shared" si="2"/>
        <v>3.4</v>
      </c>
      <c r="X22" s="5" t="str" cm="1">
        <f t="array" ref="X22">_xlfn.IFS(AND(W22&lt;=4,W22&gt;3.6),"A+",AND(W22&lt;=3.6,W22&gt;3.2),"A",AND(W22&lt;=3.2,W22&gt;2.8),"B+",AND(W22&lt;=2.8,W22&gt;2.4),"B",AND(W22&lt;=2.4,W22&gt;2),"C+",AND(W22&lt;=2,W22&gt;1.6),"C",W22=1.6,"D",TRUE,"NG")</f>
        <v>A</v>
      </c>
      <c r="Y22" s="4">
        <v>45</v>
      </c>
      <c r="Z22" s="5" cm="1">
        <f t="array" ref="Z22">_xlfn.IFS(Y22/75*100&gt;=90,4,Y22/75*100&gt;=80,3.6,Y22/75*100&gt;=70,3.2,Y22/75*100&gt;=60,2.8,Y22/75*100&gt;=50,2.4,Y22/75*100&gt;=40,2,Y22/75*100&gt;=35,1.6,TRUE, 0)</f>
        <v>2.8</v>
      </c>
      <c r="AA22" s="5" t="str" cm="1">
        <f t="array" ref="AA22">_xlfn.IFS(Z22=4,"A+",Z22=3.6,"A",Z22=3.2,"B+",Z22=2.8,"B",Z22=2.4,"C+",Z22=2,"C",Z22=1.6,"D",TRUE,"NG")</f>
        <v>B</v>
      </c>
      <c r="AB22" s="4">
        <v>24</v>
      </c>
      <c r="AC22" s="5" cm="1">
        <f t="array" ref="AC22">_xlfn.IFS(AB22/25*100&gt;=90,4,AB22/25*100&gt;=80,3.6,AB22/25*100&gt;=70,3.2,AB22/25*100&gt;=60,2.8,AB22/25*100&gt;=50,2.4,AB22/25*100&gt;=40,2,AB22/25*100&gt;=35,1.6,TRUE, 0)</f>
        <v>4</v>
      </c>
      <c r="AD22" s="5" t="str" cm="1">
        <f t="array" ref="AD22">_xlfn.IFS(AC22=4,"A+",AC22=3.6,"A",AC22=3.2,"B+",AC22=2.8,"B",AC22=2.4,"C+",AC22=2,"C",AC22=1.6,"D",TRUE,"NG")</f>
        <v>A+</v>
      </c>
      <c r="AE22" s="5">
        <f t="shared" si="3"/>
        <v>3.1</v>
      </c>
      <c r="AF22" s="5" t="str" cm="1">
        <f t="array" ref="AF22">_xlfn.IFS(AND(AE22&lt;=4,AE22&gt;3.6),"A+",AND(AE22&lt;=3.6,AE22&gt;3.2),"A",AND(AE22&lt;=3.2,AE22&gt;2.8),"B+",AND(AE22&lt;=2.8,AE22&gt;2.4),"B",AND(AE22&lt;=2.4,AE22&gt;2),"C+",AND(AE22&lt;=2,AE22&gt;1.6),"C",AE22=1.6,"D",TRUE,"NG")</f>
        <v>B+</v>
      </c>
      <c r="AG22" s="4">
        <v>44</v>
      </c>
      <c r="AH22" s="5" cm="1">
        <f t="array" ref="AH22">_xlfn.IFS(AG22/75*100&gt;=90,4,AG22/75*100&gt;=80,3.6,AG22/75*100&gt;=70,3.2,AG22/75*100&gt;=60,2.8,AG22/75*100&gt;=50,2.4,AG22/75*100&gt;=40,2,AG22/75*100&gt;=35,1.6,TRUE, 0)</f>
        <v>2.4</v>
      </c>
      <c r="AI22" s="5" t="str" cm="1">
        <f t="array" ref="AI22">_xlfn.IFS(AH22=4,"A+",AH22=3.6,"A",AH22=3.2,"B+",AH22=2.8,"B",AH22=2.4,"C+",AH22=2,"C",AH22=1.6,"D",TRUE,"NG")</f>
        <v>C+</v>
      </c>
      <c r="AJ22" s="4">
        <v>24</v>
      </c>
      <c r="AK22" s="5" cm="1">
        <f t="array" ref="AK22">_xlfn.IFS(AJ22/25*100&gt;=90,4,AJ22/25*100&gt;=80,3.6,AJ22/25*100&gt;=70,3.2,AJ22/25*100&gt;=60,2.8,AJ22/25*100&gt;=50,2.4,AJ22/25*100&gt;=40,2,AJ22/25*100&gt;=35,1.6,TRUE, 0)</f>
        <v>4</v>
      </c>
      <c r="AL22" s="5" t="str" cm="1">
        <f t="array" ref="AL22">_xlfn.IFS(AK22=4,"A+",AK22=3.6,"A",AK22=3.2,"B+",AK22=2.8,"B",AK22=2.4,"C+",AK22=2,"C",AK22=1.6,"D",TRUE,"NG")</f>
        <v>A+</v>
      </c>
      <c r="AM22" s="5">
        <f t="shared" si="4"/>
        <v>2.8</v>
      </c>
      <c r="AN22" s="5" t="str" cm="1">
        <f t="array" ref="AN22">_xlfn.IFS(AND(AM22&lt;=4,AM22&gt;3.6),"A+",AND(AM22&lt;=3.6,AM22&gt;3.2),"A",AND(AM22&lt;=3.2,AM22&gt;2.8),"B+",AND(AM22&lt;=2.8,AM22&gt;2.4),"B",AND(AM22&lt;=2.4,AM22&gt;2),"C+",AND(AM22&lt;=2,AM22&gt;1.6),"C",AM22=1.6,"D",TRUE,"NG")</f>
        <v>B</v>
      </c>
      <c r="AO22" s="4">
        <v>70</v>
      </c>
      <c r="AP22" s="5" cm="1">
        <f t="array" ref="AP22">_xlfn.IFS(AO22/75*100&gt;=90,4,AO22/75*100&gt;=80,3.6,AO22/75*100&gt;=70,3.2,AO22/75*100&gt;=60,2.8,AO22/75*100&gt;=50,2.4,AO22/75*100&gt;=40,2,AO22/75*100&gt;=35,1.6,TRUE, 0)</f>
        <v>4</v>
      </c>
      <c r="AQ22" s="5" t="str" cm="1">
        <f t="array" ref="AQ22">_xlfn.IFS(AP22=4,"A+",AP22=3.6,"A",AP22=3.2,"B+",AP22=2.8,"B",AP22=2.4,"C+",AP22=2,"C",AP22=1.6,"D",TRUE,"NG")</f>
        <v>A+</v>
      </c>
      <c r="AR22" s="5" cm="1">
        <f t="array" ref="AR22">_xlfn.IFS(AO22&gt;=70,25,AO22&gt;=60,24,AO22&gt;=50,23,AO22&gt;=40,22,AO22&gt;=30,21,TRUE,20)</f>
        <v>25</v>
      </c>
      <c r="AS22" s="5" cm="1">
        <f t="array" ref="AS22">_xlfn.IFS(AR22/25*100&gt;=90,4,AR22/25*100&gt;=80,3.6,AR22/25*100&gt;=70,3.2,AR22/25*100&gt;=60,2.8,AR22/25*100&gt;=50,2.4,AR22/25*100&gt;=40,2,AR22/25*100&gt;=35,1.6,TRUE, 0)</f>
        <v>4</v>
      </c>
      <c r="AT22" s="5" t="str" cm="1">
        <f t="array" ref="AT22">_xlfn.IFS(AS22=4,"A+",AS22=3.6,"A",AS22=3.2,"B+",AS22=2.8,"B",AS22=2.4,"C+",AS22=2,"C",AS22=1.6,"D",TRUE,"NG")</f>
        <v>A+</v>
      </c>
      <c r="AU22" s="5">
        <f t="shared" si="5"/>
        <v>4</v>
      </c>
      <c r="AV22" s="5" t="str" cm="1">
        <f t="array" ref="AV22">_xlfn.IFS(AND(AU22&lt;=4,AU22&gt;3.6),"A+",AND(AU22&lt;=3.6,AU22&gt;3.2),"A",AND(AU22&lt;=3.2,AU22&gt;2.8),"B+",AND(AU22&lt;=2.8,AU22&gt;2.4),"B",AND(AU22&lt;=2.4,AU22&gt;2),"C+",AND(AU22&lt;=2,AU22&gt;1.6),"C",AU22=1.6,"D",TRUE,"NG")</f>
        <v>A+</v>
      </c>
      <c r="AW22" s="4">
        <v>47</v>
      </c>
      <c r="AX22" s="5" cm="1">
        <f t="array" ref="AX22">_xlfn.IFS(AW22="-","-",AW22/75*100&gt;=90,4,AW22/75*100&gt;=80,3.6,AW22/75*100&gt;=70,3.2,AW22/75*100&gt;=60,2.8,AW22/75*100&gt;=50,2.4,AW22/75*100&gt;=40,2,AW22/75*100&gt;=35,1.6,TRUE, 0)</f>
        <v>2.8</v>
      </c>
      <c r="AY22" s="5" t="str" cm="1">
        <f t="array" ref="AY22">_xlfn.IFS(AX22="-","-",AX22=4,"A+",AX22=3.6,"A",AX22=3.2,"B+",AX22=2.8,"B",AX22=2.4,"C+",AX22=2,"C",AX22=1.6,"D",TRUE,"NG")</f>
        <v>B</v>
      </c>
      <c r="AZ22" s="4">
        <v>24</v>
      </c>
      <c r="BA22" s="5" cm="1">
        <f t="array" ref="BA22">_xlfn.IFS(AZ22="-","-",AZ22/25*100&gt;=90,4,AZ22/25*100&gt;=80,3.6,AZ22/25*100&gt;=70,3.2,AZ22/25*100&gt;=60,2.8,AZ22/25*100&gt;=50,2.4,AZ22/25*100&gt;=40,2,AZ22/25*100&gt;=35,1.6,TRUE, 0)</f>
        <v>4</v>
      </c>
      <c r="BB22" s="5" t="str" cm="1">
        <f t="array" ref="BB22">_xlfn.IFS(BA22="-","-",BA22=4,"A+",BA22=3.6,"A",BA22=3.2,"B+",BA22=2.8,"B",BA22=2.4,"C+",BA22=2,"C",BA22=1.6,"D",TRUE,"NG")</f>
        <v>A+</v>
      </c>
      <c r="BC22" s="5">
        <f t="shared" si="6"/>
        <v>3.1</v>
      </c>
      <c r="BD22" s="5" t="str" cm="1">
        <f t="array" ref="BD22">_xlfn.IFS(BC22="-","-",AND(BC22&lt;=4,BC22&gt;3.6),"A+",AND(BC22&lt;=3.6,BC22&gt;3.2),"A",AND(BC22&lt;=3.2,BC22&gt;2.8),"B+",AND(BC22&lt;=2.8,BC22&gt;2.4),"B",AND(BC22&lt;=2.4,BC22&gt;2),"C+",AND(BC22&lt;=2,BC22&gt;1.6),"C",BC22=1.6,"D",TRUE,"NG")</f>
        <v>B+</v>
      </c>
      <c r="BE22" s="4" t="s">
        <v>63</v>
      </c>
      <c r="BF22" t="str" cm="1">
        <f t="array" ref="BF22">_xlfn.IFS(BE22="-","-",BE22/50*100&gt;=90,4,BE22/50*100&gt;=80,3.6,BE22/50*100&gt;=70,3.2,BE22/50*100&gt;=60,2.8,BE22/50*100&gt;=50,2.4,BE22/50*100&gt;=40,2,BE22/50*100&gt;=35,1.6,TRUE, 0)</f>
        <v>-</v>
      </c>
      <c r="BG22" t="str" cm="1">
        <f t="array" ref="BG22">_xlfn.IFS(BF22="-","-",BF22=4,"A+",BF22=3.6,"A",BF22=3.2,"B+",BF22=2.8,"B",BF22=2.4,"C+",BF22=2,"C",BF22=1.6,"D",TRUE,"NG")</f>
        <v>-</v>
      </c>
      <c r="BH22" s="4" t="s">
        <v>63</v>
      </c>
      <c r="BI22" t="str" cm="1">
        <f t="array" ref="BI22">_xlfn.IFS(BH22="-","-",BH22/50*100&gt;=90,4,BH22/50*100&gt;=80,3.6,BH22/50*100&gt;=70,3.2,BH22/50*100&gt;=60,2.8,BH22/50*100&gt;=50,2.4,BH22/50*100&gt;=40,2,BH22/50*100&gt;=35,1.6,TRUE, 0)</f>
        <v>-</v>
      </c>
      <c r="BJ22" t="str" cm="1">
        <f t="array" ref="BJ22">_xlfn.IFS(BI22="-","-",BI22=4,"A+",BI22=3.6,"A",BI22=3.2,"B+",BI22=2.8,"B",BI22=2.4,"C+",BI22=2,"C",BI22=1.6,"D",TRUE,"NG")</f>
        <v>-</v>
      </c>
      <c r="BK22" t="str">
        <f t="shared" si="7"/>
        <v>-</v>
      </c>
      <c r="BL22" t="str" cm="1">
        <f t="array" ref="BL22">_xlfn.IFS(BK22="-","-",AND(BK22&lt;=4,BK22&gt;3.6),"A+",AND(BK22&lt;=3.6,BK22&gt;3.2),"A",AND(BK22&lt;=3.2,BK22&gt;2.8),"B+",AND(BK22&lt;=2.8,BK22&gt;2.4),"B",AND(BK22&lt;=2.4,BK22&gt;2),"C+",AND(BK22&lt;=2,BK22&gt;1.6),"C",BK22=1.6,"D",TRUE,"NG")</f>
        <v>-</v>
      </c>
      <c r="BM22" s="9" cm="1">
        <f t="array" ref="BM22">_xlfn.IFS(AW22&lt;&gt;"-",((J22*3+M22*1)+(R22*2.25+U22*0.75)+(Z22*3.75+AC22*1.25)+(AH22*3.75+AK22*1.25)+(AP22*3.75+AS22*1.25)+(AX22*3.75+BA22*1.25))/(4+3+5*4),BE22&lt;&gt;"-",((J22*3+M22*1)+(R22*2.25+U22*0.75)+(Z22*3.75+AC22*1.25)+(AH22*3.75+AK22*1.25)+(AP22*3.75+AS22*1.25)+(BF22*2.5+BI22*2.5))/(4+3+5*4))</f>
        <v>3.3333333333333335</v>
      </c>
    </row>
    <row r="23" spans="1:65" x14ac:dyDescent="0.3">
      <c r="A23" s="2">
        <v>122</v>
      </c>
      <c r="B23" s="12">
        <v>793270280047</v>
      </c>
      <c r="C23" s="13">
        <v>12706898</v>
      </c>
      <c r="D23" s="3" t="s">
        <v>88</v>
      </c>
      <c r="E23" s="3" t="s">
        <v>62</v>
      </c>
      <c r="F23" s="15">
        <v>58617</v>
      </c>
      <c r="G23" s="3" t="str">
        <f t="shared" si="0"/>
        <v>2060/06/25</v>
      </c>
      <c r="H23" s="3" t="str" cm="1">
        <f t="array" ref="H23">[1]!bs2ad(G23)</f>
        <v>2003-10-12</v>
      </c>
      <c r="I23" s="4">
        <v>30</v>
      </c>
      <c r="J23" s="5" cm="1">
        <f t="array" ref="J23">_xlfn.IFS(I23/75*100&gt;=90,4,I23/75*100&gt;=80,3.6,I23/75*100&gt;=70,3.2,I23/75*100&gt;=60,2.8,I23/75*100&gt;=50,2.4,I23/75*100&gt;=40,2,I23/75*100&gt;=35,1.6,TRUE, 0)</f>
        <v>2</v>
      </c>
      <c r="K23" s="5" t="str" cm="1">
        <f t="array" ref="K23">_xlfn.IFS(J23=4,"A+",J23=3.6,"A",J23=3.2,"B+",J23=2.8,"B",J23=2.4,"C+",J23=2,"C",J23=1.6,"D",TRUE,"NG")</f>
        <v>C</v>
      </c>
      <c r="L23" s="4">
        <v>20</v>
      </c>
      <c r="M23" s="5" cm="1">
        <f t="array" ref="M23">_xlfn.IFS(L23/25*100&gt;=90,4,L23/25*100&gt;=80,3.6,L23/25*100&gt;=70,3.2,L23/25*100&gt;=60,2.8,L23/25*100&gt;=50,2.4,L23/25*100&gt;=40,2,L23/25*100&gt;=35,1.6,TRUE, 0)</f>
        <v>3.6</v>
      </c>
      <c r="N23" s="5" t="str" cm="1">
        <f t="array" ref="N23">_xlfn.IFS(M23=4,"A+",M23=3.6,"A",M23=3.2,"B+",M23=2.8,"B",M23=2.4,"C+",M23=2,"C",M23=1.6,"D",TRUE,"NG")</f>
        <v>A</v>
      </c>
      <c r="O23" s="5">
        <f t="shared" si="1"/>
        <v>2.4</v>
      </c>
      <c r="P23" s="5" t="str" cm="1">
        <f t="array" ref="P23">_xlfn.IFS(AND(O23&lt;=4,O23&gt;3.6),"A+",AND(O23&lt;=3.6,O23&gt;3.2),"A",AND(O23&lt;=3.2,O23&gt;2.8),"B+",AND(O23&lt;=2.8,O23&gt;2.4),"B",AND(O23&lt;=2.4,O23&gt;2),"C+",AND(O23&lt;=2,O23&gt;1.6),"C",O23=1.6,"D",TRUE,"NG")</f>
        <v>C+</v>
      </c>
      <c r="Q23" s="4">
        <v>24</v>
      </c>
      <c r="R23" s="5" cm="1">
        <f t="array" ref="R23">_xlfn.IFS(Q23/75*100&gt;=90,4,Q23/75*100&gt;=80,3.6,Q23/75*100&gt;=70,3.2,Q23/75*100&gt;=60,2.8,Q23/75*100&gt;=50,2.4,Q23/75*100&gt;=40,2,Q23/75*100&gt;=35,1.6,TRUE, 0)</f>
        <v>0</v>
      </c>
      <c r="S23" s="5" t="str" cm="1">
        <f t="array" ref="S23">_xlfn.IFS(R23=4,"A+",R23=3.6,"A",R23=3.2,"B+",R23=2.8,"B",R23=2.4,"C+",R23=2,"C",R23=1.6,"D",TRUE,"NG")</f>
        <v>NG</v>
      </c>
      <c r="T23" s="5" cm="1">
        <f t="array" ref="T23">_xlfn.IFS(Q23&gt;=70,25,Q23&gt;=60,24,Q23&gt;=50,23,Q23&gt;=40,22,Q23&gt;=30,21,TRUE,20)</f>
        <v>20</v>
      </c>
      <c r="U23" s="5" cm="1">
        <f t="array" ref="U23">_xlfn.IFS(T23/25*100&gt;=90,4,T23/25*100&gt;=80,3.6,T23/25*100&gt;=70,3.2,T23/25*100&gt;=60,2.8,T23/25*100&gt;=50,2.4,T23/25*100&gt;=40,2,T23/25*100&gt;=35,1.6,TRUE, 0)</f>
        <v>3.6</v>
      </c>
      <c r="V23" s="5" t="str" cm="1">
        <f t="array" ref="V23">_xlfn.IFS(U23=4,"A+",U23=3.6,"A",U23=3.2,"B+",U23=2.8,"B",U23=2.4,"C+",U23=2,"C",U23=1.6,"D",TRUE,"NG")</f>
        <v>A</v>
      </c>
      <c r="W23" s="5">
        <f t="shared" si="2"/>
        <v>0.9</v>
      </c>
      <c r="X23" s="5" t="str" cm="1">
        <f t="array" ref="X23">_xlfn.IFS(AND(W23&lt;=4,W23&gt;3.6),"A+",AND(W23&lt;=3.6,W23&gt;3.2),"A",AND(W23&lt;=3.2,W23&gt;2.8),"B+",AND(W23&lt;=2.8,W23&gt;2.4),"B",AND(W23&lt;=2.4,W23&gt;2),"C+",AND(W23&lt;=2,W23&gt;1.6),"C",W23=1.6,"D",TRUE,"NG")</f>
        <v>NG</v>
      </c>
      <c r="Y23" s="4">
        <v>32</v>
      </c>
      <c r="Z23" s="5" cm="1">
        <f t="array" ref="Z23">_xlfn.IFS(Y23/75*100&gt;=90,4,Y23/75*100&gt;=80,3.6,Y23/75*100&gt;=70,3.2,Y23/75*100&gt;=60,2.8,Y23/75*100&gt;=50,2.4,Y23/75*100&gt;=40,2,Y23/75*100&gt;=35,1.6,TRUE, 0)</f>
        <v>2</v>
      </c>
      <c r="AA23" s="5" t="str" cm="1">
        <f t="array" ref="AA23">_xlfn.IFS(Z23=4,"A+",Z23=3.6,"A",Z23=3.2,"B+",Z23=2.8,"B",Z23=2.4,"C+",Z23=2,"C",Z23=1.6,"D",TRUE,"NG")</f>
        <v>C</v>
      </c>
      <c r="AB23" s="4">
        <v>21</v>
      </c>
      <c r="AC23" s="5" cm="1">
        <f t="array" ref="AC23">_xlfn.IFS(AB23/25*100&gt;=90,4,AB23/25*100&gt;=80,3.6,AB23/25*100&gt;=70,3.2,AB23/25*100&gt;=60,2.8,AB23/25*100&gt;=50,2.4,AB23/25*100&gt;=40,2,AB23/25*100&gt;=35,1.6,TRUE, 0)</f>
        <v>3.6</v>
      </c>
      <c r="AD23" s="5" t="str" cm="1">
        <f t="array" ref="AD23">_xlfn.IFS(AC23=4,"A+",AC23=3.6,"A",AC23=3.2,"B+",AC23=2.8,"B",AC23=2.4,"C+",AC23=2,"C",AC23=1.6,"D",TRUE,"NG")</f>
        <v>A</v>
      </c>
      <c r="AE23" s="5">
        <f t="shared" si="3"/>
        <v>2.4</v>
      </c>
      <c r="AF23" s="5" t="str" cm="1">
        <f t="array" ref="AF23">_xlfn.IFS(AND(AE23&lt;=4,AE23&gt;3.6),"A+",AND(AE23&lt;=3.6,AE23&gt;3.2),"A",AND(AE23&lt;=3.2,AE23&gt;2.8),"B+",AND(AE23&lt;=2.8,AE23&gt;2.4),"B",AND(AE23&lt;=2.4,AE23&gt;2),"C+",AND(AE23&lt;=2,AE23&gt;1.6),"C",AE23=1.6,"D",TRUE,"NG")</f>
        <v>C+</v>
      </c>
      <c r="AG23" s="4">
        <v>18</v>
      </c>
      <c r="AH23" s="5" cm="1">
        <f t="array" ref="AH23">_xlfn.IFS(AG23/75*100&gt;=90,4,AG23/75*100&gt;=80,3.6,AG23/75*100&gt;=70,3.2,AG23/75*100&gt;=60,2.8,AG23/75*100&gt;=50,2.4,AG23/75*100&gt;=40,2,AG23/75*100&gt;=35,1.6,TRUE, 0)</f>
        <v>0</v>
      </c>
      <c r="AI23" s="5" t="str" cm="1">
        <f t="array" ref="AI23">_xlfn.IFS(AH23=4,"A+",AH23=3.6,"A",AH23=3.2,"B+",AH23=2.8,"B",AH23=2.4,"C+",AH23=2,"C",AH23=1.6,"D",TRUE,"NG")</f>
        <v>NG</v>
      </c>
      <c r="AJ23" s="4">
        <v>22</v>
      </c>
      <c r="AK23" s="5" cm="1">
        <f t="array" ref="AK23">_xlfn.IFS(AJ23/25*100&gt;=90,4,AJ23/25*100&gt;=80,3.6,AJ23/25*100&gt;=70,3.2,AJ23/25*100&gt;=60,2.8,AJ23/25*100&gt;=50,2.4,AJ23/25*100&gt;=40,2,AJ23/25*100&gt;=35,1.6,TRUE, 0)</f>
        <v>3.6</v>
      </c>
      <c r="AL23" s="5" t="str" cm="1">
        <f t="array" ref="AL23">_xlfn.IFS(AK23=4,"A+",AK23=3.6,"A",AK23=3.2,"B+",AK23=2.8,"B",AK23=2.4,"C+",AK23=2,"C",AK23=1.6,"D",TRUE,"NG")</f>
        <v>A</v>
      </c>
      <c r="AM23" s="5">
        <f t="shared" si="4"/>
        <v>0.9</v>
      </c>
      <c r="AN23" s="5" t="str" cm="1">
        <f t="array" ref="AN23">_xlfn.IFS(AND(AM23&lt;=4,AM23&gt;3.6),"A+",AND(AM23&lt;=3.6,AM23&gt;3.2),"A",AND(AM23&lt;=3.2,AM23&gt;2.8),"B+",AND(AM23&lt;=2.8,AM23&gt;2.4),"B",AND(AM23&lt;=2.4,AM23&gt;2),"C+",AND(AM23&lt;=2,AM23&gt;1.6),"C",AM23=1.6,"D",TRUE,"NG")</f>
        <v>NG</v>
      </c>
      <c r="AO23" s="4">
        <v>40</v>
      </c>
      <c r="AP23" s="5" cm="1">
        <f t="array" ref="AP23">_xlfn.IFS(AO23/75*100&gt;=90,4,AO23/75*100&gt;=80,3.6,AO23/75*100&gt;=70,3.2,AO23/75*100&gt;=60,2.8,AO23/75*100&gt;=50,2.4,AO23/75*100&gt;=40,2,AO23/75*100&gt;=35,1.6,TRUE, 0)</f>
        <v>2.4</v>
      </c>
      <c r="AQ23" s="5" t="str" cm="1">
        <f t="array" ref="AQ23">_xlfn.IFS(AP23=4,"A+",AP23=3.6,"A",AP23=3.2,"B+",AP23=2.8,"B",AP23=2.4,"C+",AP23=2,"C",AP23=1.6,"D",TRUE,"NG")</f>
        <v>C+</v>
      </c>
      <c r="AR23" s="5" cm="1">
        <f t="array" ref="AR23">_xlfn.IFS(AO23&gt;=70,25,AO23&gt;=60,24,AO23&gt;=50,23,AO23&gt;=40,22,AO23&gt;=30,21,TRUE,20)</f>
        <v>22</v>
      </c>
      <c r="AS23" s="5" cm="1">
        <f t="array" ref="AS23">_xlfn.IFS(AR23/25*100&gt;=90,4,AR23/25*100&gt;=80,3.6,AR23/25*100&gt;=70,3.2,AR23/25*100&gt;=60,2.8,AR23/25*100&gt;=50,2.4,AR23/25*100&gt;=40,2,AR23/25*100&gt;=35,1.6,TRUE, 0)</f>
        <v>3.6</v>
      </c>
      <c r="AT23" s="5" t="str" cm="1">
        <f t="array" ref="AT23">_xlfn.IFS(AS23=4,"A+",AS23=3.6,"A",AS23=3.2,"B+",AS23=2.8,"B",AS23=2.4,"C+",AS23=2,"C",AS23=1.6,"D",TRUE,"NG")</f>
        <v>A</v>
      </c>
      <c r="AU23" s="5">
        <f t="shared" si="5"/>
        <v>2.7</v>
      </c>
      <c r="AV23" s="5" t="str" cm="1">
        <f t="array" ref="AV23">_xlfn.IFS(AND(AU23&lt;=4,AU23&gt;3.6),"A+",AND(AU23&lt;=3.6,AU23&gt;3.2),"A",AND(AU23&lt;=3.2,AU23&gt;2.8),"B+",AND(AU23&lt;=2.8,AU23&gt;2.4),"B",AND(AU23&lt;=2.4,AU23&gt;2),"C+",AND(AU23&lt;=2,AU23&gt;1.6),"C",AU23=1.6,"D",TRUE,"NG")</f>
        <v>B</v>
      </c>
      <c r="AW23" s="4" t="s">
        <v>63</v>
      </c>
      <c r="AX23" s="5" t="str" cm="1">
        <f t="array" ref="AX23">_xlfn.IFS(AW23="-","-",AW23/75*100&gt;=90,4,AW23/75*100&gt;=80,3.6,AW23/75*100&gt;=70,3.2,AW23/75*100&gt;=60,2.8,AW23/75*100&gt;=50,2.4,AW23/75*100&gt;=40,2,AW23/75*100&gt;=35,1.6,TRUE, 0)</f>
        <v>-</v>
      </c>
      <c r="AY23" s="5" t="str" cm="1">
        <f t="array" ref="AY23">_xlfn.IFS(AX23="-","-",AX23=4,"A+",AX23=3.6,"A",AX23=3.2,"B+",AX23=2.8,"B",AX23=2.4,"C+",AX23=2,"C",AX23=1.6,"D",TRUE,"NG")</f>
        <v>-</v>
      </c>
      <c r="AZ23" s="4" t="s">
        <v>63</v>
      </c>
      <c r="BA23" s="5" t="str" cm="1">
        <f t="array" ref="BA23">_xlfn.IFS(AZ23="-","-",AZ23/25*100&gt;=90,4,AZ23/25*100&gt;=80,3.6,AZ23/25*100&gt;=70,3.2,AZ23/25*100&gt;=60,2.8,AZ23/25*100&gt;=50,2.4,AZ23/25*100&gt;=40,2,AZ23/25*100&gt;=35,1.6,TRUE, 0)</f>
        <v>-</v>
      </c>
      <c r="BB23" s="5" t="str" cm="1">
        <f t="array" ref="BB23">_xlfn.IFS(BA23="-","-",BA23=4,"A+",BA23=3.6,"A",BA23=3.2,"B+",BA23=2.8,"B",BA23=2.4,"C+",BA23=2,"C",BA23=1.6,"D",TRUE,"NG")</f>
        <v>-</v>
      </c>
      <c r="BC23" s="5" t="str">
        <f t="shared" si="6"/>
        <v>-</v>
      </c>
      <c r="BD23" s="5" t="str" cm="1">
        <f t="array" ref="BD23">_xlfn.IFS(BC23="-","-",AND(BC23&lt;=4,BC23&gt;3.6),"A+",AND(BC23&lt;=3.6,BC23&gt;3.2),"A",AND(BC23&lt;=3.2,BC23&gt;2.8),"B+",AND(BC23&lt;=2.8,BC23&gt;2.4),"B",AND(BC23&lt;=2.4,BC23&gt;2),"C+",AND(BC23&lt;=2,BC23&gt;1.6),"C",BC23=1.6,"D",TRUE,"NG")</f>
        <v>-</v>
      </c>
      <c r="BE23" s="4">
        <v>32</v>
      </c>
      <c r="BF23" cm="1">
        <f t="array" ref="BF23">_xlfn.IFS(BE23="-","-",BE23/50*100&gt;=90,4,BE23/50*100&gt;=80,3.6,BE23/50*100&gt;=70,3.2,BE23/50*100&gt;=60,2.8,BE23/50*100&gt;=50,2.4,BE23/50*100&gt;=40,2,BE23/50*100&gt;=35,1.6,TRUE, 0)</f>
        <v>2.8</v>
      </c>
      <c r="BG23" t="str" cm="1">
        <f t="array" ref="BG23">_xlfn.IFS(BF23="-","-",BF23=4,"A+",BF23=3.6,"A",BF23=3.2,"B+",BF23=2.8,"B",BF23=2.4,"C+",BF23=2,"C",BF23=1.6,"D",TRUE,"NG")</f>
        <v>B</v>
      </c>
      <c r="BH23" s="4">
        <v>34</v>
      </c>
      <c r="BI23" cm="1">
        <f t="array" ref="BI23">_xlfn.IFS(BH23="-","-",BH23/50*100&gt;=90,4,BH23/50*100&gt;=80,3.6,BH23/50*100&gt;=70,3.2,BH23/50*100&gt;=60,2.8,BH23/50*100&gt;=50,2.4,BH23/50*100&gt;=40,2,BH23/50*100&gt;=35,1.6,TRUE, 0)</f>
        <v>2.8</v>
      </c>
      <c r="BJ23" t="str" cm="1">
        <f t="array" ref="BJ23">_xlfn.IFS(BI23="-","-",BI23=4,"A+",BI23=3.6,"A",BI23=3.2,"B+",BI23=2.8,"B",BI23=2.4,"C+",BI23=2,"C",BI23=1.6,"D",TRUE,"NG")</f>
        <v>B</v>
      </c>
      <c r="BK23">
        <f t="shared" si="7"/>
        <v>2.8</v>
      </c>
      <c r="BL23" t="str" cm="1">
        <f t="array" ref="BL23">_xlfn.IFS(BK23="-","-",AND(BK23&lt;=4,BK23&gt;3.6),"A+",AND(BK23&lt;=3.6,BK23&gt;3.2),"A",AND(BK23&lt;=3.2,BK23&gt;2.8),"B+",AND(BK23&lt;=2.8,BK23&gt;2.4),"B",AND(BK23&lt;=2.4,BK23&gt;2),"C+",AND(BK23&lt;=2,BK23&gt;1.6),"C",BK23=1.6,"D",TRUE,"NG")</f>
        <v>B</v>
      </c>
      <c r="BM23" s="9" cm="1">
        <f t="array" ref="BM23">_xlfn.IFS(AW23&lt;&gt;"-",((J23*3+M23*1)+(R23*2.25+U23*0.75)+(Z23*3.75+AC23*1.25)+(AH23*3.75+AK23*1.25)+(AP23*3.75+AS23*1.25)+(AX23*3.75+BA23*1.25))/(4+3+5*4),BE23&lt;&gt;"-",((J23*3+M23*1)+(R23*2.25+U23*0.75)+(Z23*3.75+AC23*1.25)+(AH23*3.75+AK23*1.25)+(AP23*3.75+AS23*1.25)+(BF23*2.5+BI23*2.5))/(4+3+5*4))</f>
        <v>2.085185185185185</v>
      </c>
    </row>
    <row r="24" spans="1:65" x14ac:dyDescent="0.3">
      <c r="A24" s="2">
        <v>123</v>
      </c>
      <c r="B24" s="12">
        <v>793270280049</v>
      </c>
      <c r="C24" s="13">
        <v>12706900</v>
      </c>
      <c r="D24" s="14" t="s">
        <v>89</v>
      </c>
      <c r="E24" s="3" t="s">
        <v>64</v>
      </c>
      <c r="F24" s="15">
        <v>59222</v>
      </c>
      <c r="G24" s="3" t="str">
        <f t="shared" si="0"/>
        <v>2062/02/20</v>
      </c>
      <c r="H24" s="3" t="str" cm="1">
        <f t="array" ref="H24">[1]!bs2ad(G24)</f>
        <v>2005-6-2</v>
      </c>
      <c r="I24" s="4">
        <v>53</v>
      </c>
      <c r="J24" s="5" cm="1">
        <f t="array" ref="J24">_xlfn.IFS(I24/75*100&gt;=90,4,I24/75*100&gt;=80,3.6,I24/75*100&gt;=70,3.2,I24/75*100&gt;=60,2.8,I24/75*100&gt;=50,2.4,I24/75*100&gt;=40,2,I24/75*100&gt;=35,1.6,TRUE, 0)</f>
        <v>3.2</v>
      </c>
      <c r="K24" s="5" t="str" cm="1">
        <f t="array" ref="K24">_xlfn.IFS(J24=4,"A+",J24=3.6,"A",J24=3.2,"B+",J24=2.8,"B",J24=2.4,"C+",J24=2,"C",J24=1.6,"D",TRUE,"NG")</f>
        <v>B+</v>
      </c>
      <c r="L24" s="4">
        <v>25</v>
      </c>
      <c r="M24" s="5" cm="1">
        <f t="array" ref="M24">_xlfn.IFS(L24/25*100&gt;=90,4,L24/25*100&gt;=80,3.6,L24/25*100&gt;=70,3.2,L24/25*100&gt;=60,2.8,L24/25*100&gt;=50,2.4,L24/25*100&gt;=40,2,L24/25*100&gt;=35,1.6,TRUE, 0)</f>
        <v>4</v>
      </c>
      <c r="N24" s="5" t="str" cm="1">
        <f t="array" ref="N24">_xlfn.IFS(M24=4,"A+",M24=3.6,"A",M24=3.2,"B+",M24=2.8,"B",M24=2.4,"C+",M24=2,"C",M24=1.6,"D",TRUE,"NG")</f>
        <v>A+</v>
      </c>
      <c r="O24" s="5">
        <f t="shared" si="1"/>
        <v>3.4000000000000004</v>
      </c>
      <c r="P24" s="5" t="str" cm="1">
        <f t="array" ref="P24">_xlfn.IFS(AND(O24&lt;=4,O24&gt;3.6),"A+",AND(O24&lt;=3.6,O24&gt;3.2),"A",AND(O24&lt;=3.2,O24&gt;2.8),"B+",AND(O24&lt;=2.8,O24&gt;2.4),"B",AND(O24&lt;=2.4,O24&gt;2),"C+",AND(O24&lt;=2,O24&gt;1.6),"C",O24=1.6,"D",TRUE,"NG")</f>
        <v>A</v>
      </c>
      <c r="Q24" s="4">
        <v>38</v>
      </c>
      <c r="R24" s="5" cm="1">
        <f t="array" ref="R24">_xlfn.IFS(Q24/75*100&gt;=90,4,Q24/75*100&gt;=80,3.6,Q24/75*100&gt;=70,3.2,Q24/75*100&gt;=60,2.8,Q24/75*100&gt;=50,2.4,Q24/75*100&gt;=40,2,Q24/75*100&gt;=35,1.6,TRUE, 0)</f>
        <v>2.4</v>
      </c>
      <c r="S24" s="5" t="str" cm="1">
        <f t="array" ref="S24">_xlfn.IFS(R24=4,"A+",R24=3.6,"A",R24=3.2,"B+",R24=2.8,"B",R24=2.4,"C+",R24=2,"C",R24=1.6,"D",TRUE,"NG")</f>
        <v>C+</v>
      </c>
      <c r="T24" s="5" cm="1">
        <f t="array" ref="T24">_xlfn.IFS(Q24&gt;=70,25,Q24&gt;=60,24,Q24&gt;=50,23,Q24&gt;=40,22,Q24&gt;=30,21,TRUE,20)</f>
        <v>21</v>
      </c>
      <c r="U24" s="5" cm="1">
        <f t="array" ref="U24">_xlfn.IFS(T24/25*100&gt;=90,4,T24/25*100&gt;=80,3.6,T24/25*100&gt;=70,3.2,T24/25*100&gt;=60,2.8,T24/25*100&gt;=50,2.4,T24/25*100&gt;=40,2,T24/25*100&gt;=35,1.6,TRUE, 0)</f>
        <v>3.6</v>
      </c>
      <c r="V24" s="5" t="str" cm="1">
        <f t="array" ref="V24">_xlfn.IFS(U24=4,"A+",U24=3.6,"A",U24=3.2,"B+",U24=2.8,"B",U24=2.4,"C+",U24=2,"C",U24=1.6,"D",TRUE,"NG")</f>
        <v>A</v>
      </c>
      <c r="W24" s="5">
        <f t="shared" si="2"/>
        <v>2.6999999999999997</v>
      </c>
      <c r="X24" s="5" t="str" cm="1">
        <f t="array" ref="X24">_xlfn.IFS(AND(W24&lt;=4,W24&gt;3.6),"A+",AND(W24&lt;=3.6,W24&gt;3.2),"A",AND(W24&lt;=3.2,W24&gt;2.8),"B+",AND(W24&lt;=2.8,W24&gt;2.4),"B",AND(W24&lt;=2.4,W24&gt;2),"C+",AND(W24&lt;=2,W24&gt;1.6),"C",W24=1.6,"D",TRUE,"NG")</f>
        <v>B</v>
      </c>
      <c r="Y24" s="4">
        <v>50</v>
      </c>
      <c r="Z24" s="5" cm="1">
        <f t="array" ref="Z24">_xlfn.IFS(Y24/75*100&gt;=90,4,Y24/75*100&gt;=80,3.6,Y24/75*100&gt;=70,3.2,Y24/75*100&gt;=60,2.8,Y24/75*100&gt;=50,2.4,Y24/75*100&gt;=40,2,Y24/75*100&gt;=35,1.6,TRUE, 0)</f>
        <v>2.8</v>
      </c>
      <c r="AA24" s="5" t="str" cm="1">
        <f t="array" ref="AA24">_xlfn.IFS(Z24=4,"A+",Z24=3.6,"A",Z24=3.2,"B+",Z24=2.8,"B",Z24=2.4,"C+",Z24=2,"C",Z24=1.6,"D",TRUE,"NG")</f>
        <v>B</v>
      </c>
      <c r="AB24" s="4">
        <v>23</v>
      </c>
      <c r="AC24" s="5" cm="1">
        <f t="array" ref="AC24">_xlfn.IFS(AB24/25*100&gt;=90,4,AB24/25*100&gt;=80,3.6,AB24/25*100&gt;=70,3.2,AB24/25*100&gt;=60,2.8,AB24/25*100&gt;=50,2.4,AB24/25*100&gt;=40,2,AB24/25*100&gt;=35,1.6,TRUE, 0)</f>
        <v>4</v>
      </c>
      <c r="AD24" s="5" t="str" cm="1">
        <f t="array" ref="AD24">_xlfn.IFS(AC24=4,"A+",AC24=3.6,"A",AC24=3.2,"B+",AC24=2.8,"B",AC24=2.4,"C+",AC24=2,"C",AC24=1.6,"D",TRUE,"NG")</f>
        <v>A+</v>
      </c>
      <c r="AE24" s="5">
        <f t="shared" si="3"/>
        <v>3.1</v>
      </c>
      <c r="AF24" s="5" t="str" cm="1">
        <f t="array" ref="AF24">_xlfn.IFS(AND(AE24&lt;=4,AE24&gt;3.6),"A+",AND(AE24&lt;=3.6,AE24&gt;3.2),"A",AND(AE24&lt;=3.2,AE24&gt;2.8),"B+",AND(AE24&lt;=2.8,AE24&gt;2.4),"B",AND(AE24&lt;=2.4,AE24&gt;2),"C+",AND(AE24&lt;=2,AE24&gt;1.6),"C",AE24=1.6,"D",TRUE,"NG")</f>
        <v>B+</v>
      </c>
      <c r="AG24" s="4">
        <v>36</v>
      </c>
      <c r="AH24" s="5" cm="1">
        <f t="array" ref="AH24">_xlfn.IFS(AG24/75*100&gt;=90,4,AG24/75*100&gt;=80,3.6,AG24/75*100&gt;=70,3.2,AG24/75*100&gt;=60,2.8,AG24/75*100&gt;=50,2.4,AG24/75*100&gt;=40,2,AG24/75*100&gt;=35,1.6,TRUE, 0)</f>
        <v>2</v>
      </c>
      <c r="AI24" s="5" t="str" cm="1">
        <f t="array" ref="AI24">_xlfn.IFS(AH24=4,"A+",AH24=3.6,"A",AH24=3.2,"B+",AH24=2.8,"B",AH24=2.4,"C+",AH24=2,"C",AH24=1.6,"D",TRUE,"NG")</f>
        <v>C</v>
      </c>
      <c r="AJ24" s="4">
        <v>23</v>
      </c>
      <c r="AK24" s="5" cm="1">
        <f t="array" ref="AK24">_xlfn.IFS(AJ24/25*100&gt;=90,4,AJ24/25*100&gt;=80,3.6,AJ24/25*100&gt;=70,3.2,AJ24/25*100&gt;=60,2.8,AJ24/25*100&gt;=50,2.4,AJ24/25*100&gt;=40,2,AJ24/25*100&gt;=35,1.6,TRUE, 0)</f>
        <v>4</v>
      </c>
      <c r="AL24" s="5" t="str" cm="1">
        <f t="array" ref="AL24">_xlfn.IFS(AK24=4,"A+",AK24=3.6,"A",AK24=3.2,"B+",AK24=2.8,"B",AK24=2.4,"C+",AK24=2,"C",AK24=1.6,"D",TRUE,"NG")</f>
        <v>A+</v>
      </c>
      <c r="AM24" s="5">
        <f t="shared" si="4"/>
        <v>2.5</v>
      </c>
      <c r="AN24" s="5" t="str" cm="1">
        <f t="array" ref="AN24">_xlfn.IFS(AND(AM24&lt;=4,AM24&gt;3.6),"A+",AND(AM24&lt;=3.6,AM24&gt;3.2),"A",AND(AM24&lt;=3.2,AM24&gt;2.8),"B+",AND(AM24&lt;=2.8,AM24&gt;2.4),"B",AND(AM24&lt;=2.4,AM24&gt;2),"C+",AND(AM24&lt;=2,AM24&gt;1.6),"C",AM24=1.6,"D",TRUE,"NG")</f>
        <v>B</v>
      </c>
      <c r="AO24" s="4">
        <v>53</v>
      </c>
      <c r="AP24" s="5" cm="1">
        <f t="array" ref="AP24">_xlfn.IFS(AO24/75*100&gt;=90,4,AO24/75*100&gt;=80,3.6,AO24/75*100&gt;=70,3.2,AO24/75*100&gt;=60,2.8,AO24/75*100&gt;=50,2.4,AO24/75*100&gt;=40,2,AO24/75*100&gt;=35,1.6,TRUE, 0)</f>
        <v>3.2</v>
      </c>
      <c r="AQ24" s="5" t="str" cm="1">
        <f t="array" ref="AQ24">_xlfn.IFS(AP24=4,"A+",AP24=3.6,"A",AP24=3.2,"B+",AP24=2.8,"B",AP24=2.4,"C+",AP24=2,"C",AP24=1.6,"D",TRUE,"NG")</f>
        <v>B+</v>
      </c>
      <c r="AR24" s="5" cm="1">
        <f t="array" ref="AR24">_xlfn.IFS(AO24&gt;=70,25,AO24&gt;=60,24,AO24&gt;=50,23,AO24&gt;=40,22,AO24&gt;=30,21,TRUE,20)</f>
        <v>23</v>
      </c>
      <c r="AS24" s="5" cm="1">
        <f t="array" ref="AS24">_xlfn.IFS(AR24/25*100&gt;=90,4,AR24/25*100&gt;=80,3.6,AR24/25*100&gt;=70,3.2,AR24/25*100&gt;=60,2.8,AR24/25*100&gt;=50,2.4,AR24/25*100&gt;=40,2,AR24/25*100&gt;=35,1.6,TRUE, 0)</f>
        <v>4</v>
      </c>
      <c r="AT24" s="5" t="str" cm="1">
        <f t="array" ref="AT24">_xlfn.IFS(AS24=4,"A+",AS24=3.6,"A",AS24=3.2,"B+",AS24=2.8,"B",AS24=2.4,"C+",AS24=2,"C",AS24=1.6,"D",TRUE,"NG")</f>
        <v>A+</v>
      </c>
      <c r="AU24" s="5">
        <f t="shared" si="5"/>
        <v>3.4</v>
      </c>
      <c r="AV24" s="5" t="str" cm="1">
        <f t="array" ref="AV24">_xlfn.IFS(AND(AU24&lt;=4,AU24&gt;3.6),"A+",AND(AU24&lt;=3.6,AU24&gt;3.2),"A",AND(AU24&lt;=3.2,AU24&gt;2.8),"B+",AND(AU24&lt;=2.8,AU24&gt;2.4),"B",AND(AU24&lt;=2.4,AU24&gt;2),"C+",AND(AU24&lt;=2,AU24&gt;1.6),"C",AU24=1.6,"D",TRUE,"NG")</f>
        <v>A</v>
      </c>
      <c r="AW24" s="4">
        <v>34</v>
      </c>
      <c r="AX24" s="5" cm="1">
        <f t="array" ref="AX24">_xlfn.IFS(AW24="-","-",AW24/75*100&gt;=90,4,AW24/75*100&gt;=80,3.6,AW24/75*100&gt;=70,3.2,AW24/75*100&gt;=60,2.8,AW24/75*100&gt;=50,2.4,AW24/75*100&gt;=40,2,AW24/75*100&gt;=35,1.6,TRUE, 0)</f>
        <v>2</v>
      </c>
      <c r="AY24" s="5" t="str" cm="1">
        <f t="array" ref="AY24">_xlfn.IFS(AX24="-","-",AX24=4,"A+",AX24=3.6,"A",AX24=3.2,"B+",AX24=2.8,"B",AX24=2.4,"C+",AX24=2,"C",AX24=1.6,"D",TRUE,"NG")</f>
        <v>C</v>
      </c>
      <c r="AZ24" s="4">
        <v>24</v>
      </c>
      <c r="BA24" s="5" cm="1">
        <f t="array" ref="BA24">_xlfn.IFS(AZ24="-","-",AZ24/25*100&gt;=90,4,AZ24/25*100&gt;=80,3.6,AZ24/25*100&gt;=70,3.2,AZ24/25*100&gt;=60,2.8,AZ24/25*100&gt;=50,2.4,AZ24/25*100&gt;=40,2,AZ24/25*100&gt;=35,1.6,TRUE, 0)</f>
        <v>4</v>
      </c>
      <c r="BB24" s="5" t="str" cm="1">
        <f t="array" ref="BB24">_xlfn.IFS(BA24="-","-",BA24=4,"A+",BA24=3.6,"A",BA24=3.2,"B+",BA24=2.8,"B",BA24=2.4,"C+",BA24=2,"C",BA24=1.6,"D",TRUE,"NG")</f>
        <v>A+</v>
      </c>
      <c r="BC24" s="5">
        <f t="shared" si="6"/>
        <v>2.5</v>
      </c>
      <c r="BD24" s="5" t="str" cm="1">
        <f t="array" ref="BD24">_xlfn.IFS(BC24="-","-",AND(BC24&lt;=4,BC24&gt;3.6),"A+",AND(BC24&lt;=3.6,BC24&gt;3.2),"A",AND(BC24&lt;=3.2,BC24&gt;2.8),"B+",AND(BC24&lt;=2.8,BC24&gt;2.4),"B",AND(BC24&lt;=2.4,BC24&gt;2),"C+",AND(BC24&lt;=2,BC24&gt;1.6),"C",BC24=1.6,"D",TRUE,"NG")</f>
        <v>B</v>
      </c>
      <c r="BE24" s="4" t="s">
        <v>63</v>
      </c>
      <c r="BF24" t="str" cm="1">
        <f t="array" ref="BF24">_xlfn.IFS(BE24="-","-",BE24/50*100&gt;=90,4,BE24/50*100&gt;=80,3.6,BE24/50*100&gt;=70,3.2,BE24/50*100&gt;=60,2.8,BE24/50*100&gt;=50,2.4,BE24/50*100&gt;=40,2,BE24/50*100&gt;=35,1.6,TRUE, 0)</f>
        <v>-</v>
      </c>
      <c r="BG24" t="str" cm="1">
        <f t="array" ref="BG24">_xlfn.IFS(BF24="-","-",BF24=4,"A+",BF24=3.6,"A",BF24=3.2,"B+",BF24=2.8,"B",BF24=2.4,"C+",BF24=2,"C",BF24=1.6,"D",TRUE,"NG")</f>
        <v>-</v>
      </c>
      <c r="BH24" s="4" t="s">
        <v>63</v>
      </c>
      <c r="BI24" t="str" cm="1">
        <f t="array" ref="BI24">_xlfn.IFS(BH24="-","-",BH24/50*100&gt;=90,4,BH24/50*100&gt;=80,3.6,BH24/50*100&gt;=70,3.2,BH24/50*100&gt;=60,2.8,BH24/50*100&gt;=50,2.4,BH24/50*100&gt;=40,2,BH24/50*100&gt;=35,1.6,TRUE, 0)</f>
        <v>-</v>
      </c>
      <c r="BJ24" t="str" cm="1">
        <f t="array" ref="BJ24">_xlfn.IFS(BI24="-","-",BI24=4,"A+",BI24=3.6,"A",BI24=3.2,"B+",BI24=2.8,"B",BI24=2.4,"C+",BI24=2,"C",BI24=1.6,"D",TRUE,"NG")</f>
        <v>-</v>
      </c>
      <c r="BK24" t="str">
        <f t="shared" si="7"/>
        <v>-</v>
      </c>
      <c r="BL24" t="str" cm="1">
        <f t="array" ref="BL24">_xlfn.IFS(BK24="-","-",AND(BK24&lt;=4,BK24&gt;3.6),"A+",AND(BK24&lt;=3.6,BK24&gt;3.2),"A",AND(BK24&lt;=3.2,BK24&gt;2.8),"B+",AND(BK24&lt;=2.8,BK24&gt;2.4),"B",AND(BK24&lt;=2.4,BK24&gt;2),"C+",AND(BK24&lt;=2,BK24&gt;1.6),"C",BK24=1.6,"D",TRUE,"NG")</f>
        <v>-</v>
      </c>
      <c r="BM24" s="9" cm="1">
        <f t="array" ref="BM24">_xlfn.IFS(AW24&lt;&gt;"-",((J24*3+M24*1)+(R24*2.25+U24*0.75)+(Z24*3.75+AC24*1.25)+(AH24*3.75+AK24*1.25)+(AP24*3.75+AS24*1.25)+(AX24*3.75+BA24*1.25))/(4+3+5*4),BE24&lt;&gt;"-",((J24*3+M24*1)+(R24*2.25+U24*0.75)+(Z24*3.75+AC24*1.25)+(AH24*3.75+AK24*1.25)+(AP24*3.75+AS24*1.25)+(BF24*2.5+BI24*2.5))/(4+3+5*4))</f>
        <v>2.9333333333333336</v>
      </c>
    </row>
    <row r="25" spans="1:65" x14ac:dyDescent="0.3">
      <c r="A25" s="2">
        <v>124</v>
      </c>
      <c r="B25" s="12">
        <v>793270280050</v>
      </c>
      <c r="C25" s="13">
        <v>12706901</v>
      </c>
      <c r="D25" s="14" t="s">
        <v>90</v>
      </c>
      <c r="E25" s="3" t="s">
        <v>64</v>
      </c>
      <c r="F25" s="15">
        <v>59069</v>
      </c>
      <c r="G25" s="3" t="str">
        <f t="shared" si="0"/>
        <v>2061/09/20</v>
      </c>
      <c r="H25" s="3" t="str" cm="1">
        <f t="array" ref="H25">[1]!bs2ad(G25)</f>
        <v>2005-1-4</v>
      </c>
      <c r="I25" s="4">
        <v>52</v>
      </c>
      <c r="J25" s="5" cm="1">
        <f t="array" ref="J25">_xlfn.IFS(I25/75*100&gt;=90,4,I25/75*100&gt;=80,3.6,I25/75*100&gt;=70,3.2,I25/75*100&gt;=60,2.8,I25/75*100&gt;=50,2.4,I25/75*100&gt;=40,2,I25/75*100&gt;=35,1.6,TRUE, 0)</f>
        <v>2.8</v>
      </c>
      <c r="K25" s="5" t="str" cm="1">
        <f t="array" ref="K25">_xlfn.IFS(J25=4,"A+",J25=3.6,"A",J25=3.2,"B+",J25=2.8,"B",J25=2.4,"C+",J25=2,"C",J25=1.6,"D",TRUE,"NG")</f>
        <v>B</v>
      </c>
      <c r="L25" s="4">
        <v>25</v>
      </c>
      <c r="M25" s="5" cm="1">
        <f t="array" ref="M25">_xlfn.IFS(L25/25*100&gt;=90,4,L25/25*100&gt;=80,3.6,L25/25*100&gt;=70,3.2,L25/25*100&gt;=60,2.8,L25/25*100&gt;=50,2.4,L25/25*100&gt;=40,2,L25/25*100&gt;=35,1.6,TRUE, 0)</f>
        <v>4</v>
      </c>
      <c r="N25" s="5" t="str" cm="1">
        <f t="array" ref="N25">_xlfn.IFS(M25=4,"A+",M25=3.6,"A",M25=3.2,"B+",M25=2.8,"B",M25=2.4,"C+",M25=2,"C",M25=1.6,"D",TRUE,"NG")</f>
        <v>A+</v>
      </c>
      <c r="O25" s="5">
        <f t="shared" si="1"/>
        <v>3.0999999999999996</v>
      </c>
      <c r="P25" s="5" t="str" cm="1">
        <f t="array" ref="P25">_xlfn.IFS(AND(O25&lt;=4,O25&gt;3.6),"A+",AND(O25&lt;=3.6,O25&gt;3.2),"A",AND(O25&lt;=3.2,O25&gt;2.8),"B+",AND(O25&lt;=2.8,O25&gt;2.4),"B",AND(O25&lt;=2.4,O25&gt;2),"C+",AND(O25&lt;=2,O25&gt;1.6),"C",O25=1.6,"D",TRUE,"NG")</f>
        <v>B+</v>
      </c>
      <c r="Q25" s="4">
        <v>47</v>
      </c>
      <c r="R25" s="5" cm="1">
        <f t="array" ref="R25">_xlfn.IFS(Q25/75*100&gt;=90,4,Q25/75*100&gt;=80,3.6,Q25/75*100&gt;=70,3.2,Q25/75*100&gt;=60,2.8,Q25/75*100&gt;=50,2.4,Q25/75*100&gt;=40,2,Q25/75*100&gt;=35,1.6,TRUE, 0)</f>
        <v>2.8</v>
      </c>
      <c r="S25" s="5" t="str" cm="1">
        <f t="array" ref="S25">_xlfn.IFS(R25=4,"A+",R25=3.6,"A",R25=3.2,"B+",R25=2.8,"B",R25=2.4,"C+",R25=2,"C",R25=1.6,"D",TRUE,"NG")</f>
        <v>B</v>
      </c>
      <c r="T25" s="5" cm="1">
        <f t="array" ref="T25">_xlfn.IFS(Q25&gt;=70,25,Q25&gt;=60,24,Q25&gt;=50,23,Q25&gt;=40,22,Q25&gt;=30,21,TRUE,20)</f>
        <v>22</v>
      </c>
      <c r="U25" s="5" cm="1">
        <f t="array" ref="U25">_xlfn.IFS(T25/25*100&gt;=90,4,T25/25*100&gt;=80,3.6,T25/25*100&gt;=70,3.2,T25/25*100&gt;=60,2.8,T25/25*100&gt;=50,2.4,T25/25*100&gt;=40,2,T25/25*100&gt;=35,1.6,TRUE, 0)</f>
        <v>3.6</v>
      </c>
      <c r="V25" s="5" t="str" cm="1">
        <f t="array" ref="V25">_xlfn.IFS(U25=4,"A+",U25=3.6,"A",U25=3.2,"B+",U25=2.8,"B",U25=2.4,"C+",U25=2,"C",U25=1.6,"D",TRUE,"NG")</f>
        <v>A</v>
      </c>
      <c r="W25" s="5">
        <f t="shared" si="2"/>
        <v>3</v>
      </c>
      <c r="X25" s="5" t="str" cm="1">
        <f t="array" ref="X25">_xlfn.IFS(AND(W25&lt;=4,W25&gt;3.6),"A+",AND(W25&lt;=3.6,W25&gt;3.2),"A",AND(W25&lt;=3.2,W25&gt;2.8),"B+",AND(W25&lt;=2.8,W25&gt;2.4),"B",AND(W25&lt;=2.4,W25&gt;2),"C+",AND(W25&lt;=2,W25&gt;1.6),"C",W25=1.6,"D",TRUE,"NG")</f>
        <v>B+</v>
      </c>
      <c r="Y25" s="4">
        <v>45</v>
      </c>
      <c r="Z25" s="5" cm="1">
        <f t="array" ref="Z25">_xlfn.IFS(Y25/75*100&gt;=90,4,Y25/75*100&gt;=80,3.6,Y25/75*100&gt;=70,3.2,Y25/75*100&gt;=60,2.8,Y25/75*100&gt;=50,2.4,Y25/75*100&gt;=40,2,Y25/75*100&gt;=35,1.6,TRUE, 0)</f>
        <v>2.8</v>
      </c>
      <c r="AA25" s="5" t="str" cm="1">
        <f t="array" ref="AA25">_xlfn.IFS(Z25=4,"A+",Z25=3.6,"A",Z25=3.2,"B+",Z25=2.8,"B",Z25=2.4,"C+",Z25=2,"C",Z25=1.6,"D",TRUE,"NG")</f>
        <v>B</v>
      </c>
      <c r="AB25" s="4">
        <v>23</v>
      </c>
      <c r="AC25" s="5" cm="1">
        <f t="array" ref="AC25">_xlfn.IFS(AB25/25*100&gt;=90,4,AB25/25*100&gt;=80,3.6,AB25/25*100&gt;=70,3.2,AB25/25*100&gt;=60,2.8,AB25/25*100&gt;=50,2.4,AB25/25*100&gt;=40,2,AB25/25*100&gt;=35,1.6,TRUE, 0)</f>
        <v>4</v>
      </c>
      <c r="AD25" s="5" t="str" cm="1">
        <f t="array" ref="AD25">_xlfn.IFS(AC25=4,"A+",AC25=3.6,"A",AC25=3.2,"B+",AC25=2.8,"B",AC25=2.4,"C+",AC25=2,"C",AC25=1.6,"D",TRUE,"NG")</f>
        <v>A+</v>
      </c>
      <c r="AE25" s="5">
        <f t="shared" si="3"/>
        <v>3.1</v>
      </c>
      <c r="AF25" s="5" t="str" cm="1">
        <f t="array" ref="AF25">_xlfn.IFS(AND(AE25&lt;=4,AE25&gt;3.6),"A+",AND(AE25&lt;=3.6,AE25&gt;3.2),"A",AND(AE25&lt;=3.2,AE25&gt;2.8),"B+",AND(AE25&lt;=2.8,AE25&gt;2.4),"B",AND(AE25&lt;=2.4,AE25&gt;2),"C+",AND(AE25&lt;=2,AE25&gt;1.6),"C",AE25=1.6,"D",TRUE,"NG")</f>
        <v>B+</v>
      </c>
      <c r="AG25" s="4">
        <v>35</v>
      </c>
      <c r="AH25" s="5" cm="1">
        <f t="array" ref="AH25">_xlfn.IFS(AG25/75*100&gt;=90,4,AG25/75*100&gt;=80,3.6,AG25/75*100&gt;=70,3.2,AG25/75*100&gt;=60,2.8,AG25/75*100&gt;=50,2.4,AG25/75*100&gt;=40,2,AG25/75*100&gt;=35,1.6,TRUE, 0)</f>
        <v>2</v>
      </c>
      <c r="AI25" s="5" t="str" cm="1">
        <f t="array" ref="AI25">_xlfn.IFS(AH25=4,"A+",AH25=3.6,"A",AH25=3.2,"B+",AH25=2.8,"B",AH25=2.4,"C+",AH25=2,"C",AH25=1.6,"D",TRUE,"NG")</f>
        <v>C</v>
      </c>
      <c r="AJ25" s="4">
        <v>24</v>
      </c>
      <c r="AK25" s="5" cm="1">
        <f t="array" ref="AK25">_xlfn.IFS(AJ25/25*100&gt;=90,4,AJ25/25*100&gt;=80,3.6,AJ25/25*100&gt;=70,3.2,AJ25/25*100&gt;=60,2.8,AJ25/25*100&gt;=50,2.4,AJ25/25*100&gt;=40,2,AJ25/25*100&gt;=35,1.6,TRUE, 0)</f>
        <v>4</v>
      </c>
      <c r="AL25" s="5" t="str" cm="1">
        <f t="array" ref="AL25">_xlfn.IFS(AK25=4,"A+",AK25=3.6,"A",AK25=3.2,"B+",AK25=2.8,"B",AK25=2.4,"C+",AK25=2,"C",AK25=1.6,"D",TRUE,"NG")</f>
        <v>A+</v>
      </c>
      <c r="AM25" s="5">
        <f t="shared" si="4"/>
        <v>2.5</v>
      </c>
      <c r="AN25" s="5" t="str" cm="1">
        <f t="array" ref="AN25">_xlfn.IFS(AND(AM25&lt;=4,AM25&gt;3.6),"A+",AND(AM25&lt;=3.6,AM25&gt;3.2),"A",AND(AM25&lt;=3.2,AM25&gt;2.8),"B+",AND(AM25&lt;=2.8,AM25&gt;2.4),"B",AND(AM25&lt;=2.4,AM25&gt;2),"C+",AND(AM25&lt;=2,AM25&gt;1.6),"C",AM25=1.6,"D",TRUE,"NG")</f>
        <v>B</v>
      </c>
      <c r="AO25" s="4">
        <v>63</v>
      </c>
      <c r="AP25" s="5" cm="1">
        <f t="array" ref="AP25">_xlfn.IFS(AO25/75*100&gt;=90,4,AO25/75*100&gt;=80,3.6,AO25/75*100&gt;=70,3.2,AO25/75*100&gt;=60,2.8,AO25/75*100&gt;=50,2.4,AO25/75*100&gt;=40,2,AO25/75*100&gt;=35,1.6,TRUE, 0)</f>
        <v>3.6</v>
      </c>
      <c r="AQ25" s="5" t="str" cm="1">
        <f t="array" ref="AQ25">_xlfn.IFS(AP25=4,"A+",AP25=3.6,"A",AP25=3.2,"B+",AP25=2.8,"B",AP25=2.4,"C+",AP25=2,"C",AP25=1.6,"D",TRUE,"NG")</f>
        <v>A</v>
      </c>
      <c r="AR25" s="5" cm="1">
        <f t="array" ref="AR25">_xlfn.IFS(AO25&gt;=70,25,AO25&gt;=60,24,AO25&gt;=50,23,AO25&gt;=40,22,AO25&gt;=30,21,TRUE,20)</f>
        <v>24</v>
      </c>
      <c r="AS25" s="5" cm="1">
        <f t="array" ref="AS25">_xlfn.IFS(AR25/25*100&gt;=90,4,AR25/25*100&gt;=80,3.6,AR25/25*100&gt;=70,3.2,AR25/25*100&gt;=60,2.8,AR25/25*100&gt;=50,2.4,AR25/25*100&gt;=40,2,AR25/25*100&gt;=35,1.6,TRUE, 0)</f>
        <v>4</v>
      </c>
      <c r="AT25" s="5" t="str" cm="1">
        <f t="array" ref="AT25">_xlfn.IFS(AS25=4,"A+",AS25=3.6,"A",AS25=3.2,"B+",AS25=2.8,"B",AS25=2.4,"C+",AS25=2,"C",AS25=1.6,"D",TRUE,"NG")</f>
        <v>A+</v>
      </c>
      <c r="AU25" s="5">
        <f t="shared" si="5"/>
        <v>3.7</v>
      </c>
      <c r="AV25" s="5" t="str" cm="1">
        <f t="array" ref="AV25">_xlfn.IFS(AND(AU25&lt;=4,AU25&gt;3.6),"A+",AND(AU25&lt;=3.6,AU25&gt;3.2),"A",AND(AU25&lt;=3.2,AU25&gt;2.8),"B+",AND(AU25&lt;=2.8,AU25&gt;2.4),"B",AND(AU25&lt;=2.4,AU25&gt;2),"C+",AND(AU25&lt;=2,AU25&gt;1.6),"C",AU25=1.6,"D",TRUE,"NG")</f>
        <v>A+</v>
      </c>
      <c r="AW25" s="4">
        <v>40</v>
      </c>
      <c r="AX25" s="5" cm="1">
        <f t="array" ref="AX25">_xlfn.IFS(AW25="-","-",AW25/75*100&gt;=90,4,AW25/75*100&gt;=80,3.6,AW25/75*100&gt;=70,3.2,AW25/75*100&gt;=60,2.8,AW25/75*100&gt;=50,2.4,AW25/75*100&gt;=40,2,AW25/75*100&gt;=35,1.6,TRUE, 0)</f>
        <v>2.4</v>
      </c>
      <c r="AY25" s="5" t="str" cm="1">
        <f t="array" ref="AY25">_xlfn.IFS(AX25="-","-",AX25=4,"A+",AX25=3.6,"A",AX25=3.2,"B+",AX25=2.8,"B",AX25=2.4,"C+",AX25=2,"C",AX25=1.6,"D",TRUE,"NG")</f>
        <v>C+</v>
      </c>
      <c r="AZ25" s="4">
        <v>20</v>
      </c>
      <c r="BA25" s="5" cm="1">
        <f t="array" ref="BA25">_xlfn.IFS(AZ25="-","-",AZ25/25*100&gt;=90,4,AZ25/25*100&gt;=80,3.6,AZ25/25*100&gt;=70,3.2,AZ25/25*100&gt;=60,2.8,AZ25/25*100&gt;=50,2.4,AZ25/25*100&gt;=40,2,AZ25/25*100&gt;=35,1.6,TRUE, 0)</f>
        <v>3.6</v>
      </c>
      <c r="BB25" s="5" t="str" cm="1">
        <f t="array" ref="BB25">_xlfn.IFS(BA25="-","-",BA25=4,"A+",BA25=3.6,"A",BA25=3.2,"B+",BA25=2.8,"B",BA25=2.4,"C+",BA25=2,"C",BA25=1.6,"D",TRUE,"NG")</f>
        <v>A</v>
      </c>
      <c r="BC25" s="5">
        <f t="shared" si="6"/>
        <v>2.7</v>
      </c>
      <c r="BD25" s="5" t="str" cm="1">
        <f t="array" ref="BD25">_xlfn.IFS(BC25="-","-",AND(BC25&lt;=4,BC25&gt;3.6),"A+",AND(BC25&lt;=3.6,BC25&gt;3.2),"A",AND(BC25&lt;=3.2,BC25&gt;2.8),"B+",AND(BC25&lt;=2.8,BC25&gt;2.4),"B",AND(BC25&lt;=2.4,BC25&gt;2),"C+",AND(BC25&lt;=2,BC25&gt;1.6),"C",BC25=1.6,"D",TRUE,"NG")</f>
        <v>B</v>
      </c>
      <c r="BE25" s="4" t="s">
        <v>63</v>
      </c>
      <c r="BF25" t="str" cm="1">
        <f t="array" ref="BF25">_xlfn.IFS(BE25="-","-",BE25/50*100&gt;=90,4,BE25/50*100&gt;=80,3.6,BE25/50*100&gt;=70,3.2,BE25/50*100&gt;=60,2.8,BE25/50*100&gt;=50,2.4,BE25/50*100&gt;=40,2,BE25/50*100&gt;=35,1.6,TRUE, 0)</f>
        <v>-</v>
      </c>
      <c r="BG25" t="str" cm="1">
        <f t="array" ref="BG25">_xlfn.IFS(BF25="-","-",BF25=4,"A+",BF25=3.6,"A",BF25=3.2,"B+",BF25=2.8,"B",BF25=2.4,"C+",BF25=2,"C",BF25=1.6,"D",TRUE,"NG")</f>
        <v>-</v>
      </c>
      <c r="BH25" s="4" t="s">
        <v>63</v>
      </c>
      <c r="BI25" t="str" cm="1">
        <f t="array" ref="BI25">_xlfn.IFS(BH25="-","-",BH25/50*100&gt;=90,4,BH25/50*100&gt;=80,3.6,BH25/50*100&gt;=70,3.2,BH25/50*100&gt;=60,2.8,BH25/50*100&gt;=50,2.4,BH25/50*100&gt;=40,2,BH25/50*100&gt;=35,1.6,TRUE, 0)</f>
        <v>-</v>
      </c>
      <c r="BJ25" t="str" cm="1">
        <f t="array" ref="BJ25">_xlfn.IFS(BI25="-","-",BI25=4,"A+",BI25=3.6,"A",BI25=3.2,"B+",BI25=2.8,"B",BI25=2.4,"C+",BI25=2,"C",BI25=1.6,"D",TRUE,"NG")</f>
        <v>-</v>
      </c>
      <c r="BK25" t="str">
        <f t="shared" si="7"/>
        <v>-</v>
      </c>
      <c r="BL25" t="str" cm="1">
        <f t="array" ref="BL25">_xlfn.IFS(BK25="-","-",AND(BK25&lt;=4,BK25&gt;3.6),"A+",AND(BK25&lt;=3.6,BK25&gt;3.2),"A",AND(BK25&lt;=3.2,BK25&gt;2.8),"B+",AND(BK25&lt;=2.8,BK25&gt;2.4),"B",AND(BK25&lt;=2.4,BK25&gt;2),"C+",AND(BK25&lt;=2,BK25&gt;1.6),"C",BK25=1.6,"D",TRUE,"NG")</f>
        <v>-</v>
      </c>
      <c r="BM25" s="9" cm="1">
        <f t="array" ref="BM25">_xlfn.IFS(AW25&lt;&gt;"-",((J25*3+M25*1)+(R25*2.25+U25*0.75)+(Z25*3.75+AC25*1.25)+(AH25*3.75+AK25*1.25)+(AP25*3.75+AS25*1.25)+(AX25*3.75+BA25*1.25))/(4+3+5*4),BE25&lt;&gt;"-",((J25*3+M25*1)+(R25*2.25+U25*0.75)+(Z25*3.75+AC25*1.25)+(AH25*3.75+AK25*1.25)+(AP25*3.75+AS25*1.25)+(BF25*2.5+BI25*2.5))/(4+3+5*4))</f>
        <v>3.0148148148148151</v>
      </c>
    </row>
    <row r="26" spans="1:65" x14ac:dyDescent="0.3">
      <c r="A26" s="2">
        <v>125</v>
      </c>
      <c r="B26" s="12">
        <v>793270280054</v>
      </c>
      <c r="C26" s="13">
        <v>12706905</v>
      </c>
      <c r="D26" s="14" t="s">
        <v>91</v>
      </c>
      <c r="E26" s="3" t="s">
        <v>64</v>
      </c>
      <c r="F26" s="15">
        <v>58825</v>
      </c>
      <c r="G26" s="3" t="str">
        <f t="shared" si="0"/>
        <v>2061/01/19</v>
      </c>
      <c r="H26" s="3" t="str" cm="1">
        <f t="array" ref="H26">[1]!bs2ad(G26)</f>
        <v>2004-5-1</v>
      </c>
      <c r="I26" s="4">
        <v>42</v>
      </c>
      <c r="J26" s="5" cm="1">
        <f t="array" ref="J26">_xlfn.IFS(I26/75*100&gt;=90,4,I26/75*100&gt;=80,3.6,I26/75*100&gt;=70,3.2,I26/75*100&gt;=60,2.8,I26/75*100&gt;=50,2.4,I26/75*100&gt;=40,2,I26/75*100&gt;=35,1.6,TRUE, 0)</f>
        <v>2.4</v>
      </c>
      <c r="K26" s="5" t="str" cm="1">
        <f t="array" ref="K26">_xlfn.IFS(J26=4,"A+",J26=3.6,"A",J26=3.2,"B+",J26=2.8,"B",J26=2.4,"C+",J26=2,"C",J26=1.6,"D",TRUE,"NG")</f>
        <v>C+</v>
      </c>
      <c r="L26" s="4">
        <v>18</v>
      </c>
      <c r="M26" s="5" cm="1">
        <f t="array" ref="M26">_xlfn.IFS(L26/25*100&gt;=90,4,L26/25*100&gt;=80,3.6,L26/25*100&gt;=70,3.2,L26/25*100&gt;=60,2.8,L26/25*100&gt;=50,2.4,L26/25*100&gt;=40,2,L26/25*100&gt;=35,1.6,TRUE, 0)</f>
        <v>3.2</v>
      </c>
      <c r="N26" s="5" t="str" cm="1">
        <f t="array" ref="N26">_xlfn.IFS(M26=4,"A+",M26=3.6,"A",M26=3.2,"B+",M26=2.8,"B",M26=2.4,"C+",M26=2,"C",M26=1.6,"D",TRUE,"NG")</f>
        <v>B+</v>
      </c>
      <c r="O26" s="5">
        <f t="shared" si="1"/>
        <v>2.5999999999999996</v>
      </c>
      <c r="P26" s="5" t="str" cm="1">
        <f t="array" ref="P26">_xlfn.IFS(AND(O26&lt;=4,O26&gt;3.6),"A+",AND(O26&lt;=3.6,O26&gt;3.2),"A",AND(O26&lt;=3.2,O26&gt;2.8),"B+",AND(O26&lt;=2.8,O26&gt;2.4),"B",AND(O26&lt;=2.4,O26&gt;2),"C+",AND(O26&lt;=2,O26&gt;1.6),"C",O26=1.6,"D",TRUE,"NG")</f>
        <v>B</v>
      </c>
      <c r="Q26" s="4">
        <v>44</v>
      </c>
      <c r="R26" s="5" cm="1">
        <f t="array" ref="R26">_xlfn.IFS(Q26/75*100&gt;=90,4,Q26/75*100&gt;=80,3.6,Q26/75*100&gt;=70,3.2,Q26/75*100&gt;=60,2.8,Q26/75*100&gt;=50,2.4,Q26/75*100&gt;=40,2,Q26/75*100&gt;=35,1.6,TRUE, 0)</f>
        <v>2.4</v>
      </c>
      <c r="S26" s="5" t="str" cm="1">
        <f t="array" ref="S26">_xlfn.IFS(R26=4,"A+",R26=3.6,"A",R26=3.2,"B+",R26=2.8,"B",R26=2.4,"C+",R26=2,"C",R26=1.6,"D",TRUE,"NG")</f>
        <v>C+</v>
      </c>
      <c r="T26" s="5" cm="1">
        <f t="array" ref="T26">_xlfn.IFS(Q26&gt;=70,25,Q26&gt;=60,24,Q26&gt;=50,23,Q26&gt;=40,22,Q26&gt;=30,21,TRUE,20)</f>
        <v>22</v>
      </c>
      <c r="U26" s="5" cm="1">
        <f t="array" ref="U26">_xlfn.IFS(T26/25*100&gt;=90,4,T26/25*100&gt;=80,3.6,T26/25*100&gt;=70,3.2,T26/25*100&gt;=60,2.8,T26/25*100&gt;=50,2.4,T26/25*100&gt;=40,2,T26/25*100&gt;=35,1.6,TRUE, 0)</f>
        <v>3.6</v>
      </c>
      <c r="V26" s="5" t="str" cm="1">
        <f t="array" ref="V26">_xlfn.IFS(U26=4,"A+",U26=3.6,"A",U26=3.2,"B+",U26=2.8,"B",U26=2.4,"C+",U26=2,"C",U26=1.6,"D",TRUE,"NG")</f>
        <v>A</v>
      </c>
      <c r="W26" s="5">
        <f t="shared" si="2"/>
        <v>2.6999999999999997</v>
      </c>
      <c r="X26" s="5" t="str" cm="1">
        <f t="array" ref="X26">_xlfn.IFS(AND(W26&lt;=4,W26&gt;3.6),"A+",AND(W26&lt;=3.6,W26&gt;3.2),"A",AND(W26&lt;=3.2,W26&gt;2.8),"B+",AND(W26&lt;=2.8,W26&gt;2.4),"B",AND(W26&lt;=2.4,W26&gt;2),"C+",AND(W26&lt;=2,W26&gt;1.6),"C",W26=1.6,"D",TRUE,"NG")</f>
        <v>B</v>
      </c>
      <c r="Y26" s="4">
        <v>34</v>
      </c>
      <c r="Z26" s="5" cm="1">
        <f t="array" ref="Z26">_xlfn.IFS(Y26/75*100&gt;=90,4,Y26/75*100&gt;=80,3.6,Y26/75*100&gt;=70,3.2,Y26/75*100&gt;=60,2.8,Y26/75*100&gt;=50,2.4,Y26/75*100&gt;=40,2,Y26/75*100&gt;=35,1.6,TRUE, 0)</f>
        <v>2</v>
      </c>
      <c r="AA26" s="5" t="str" cm="1">
        <f t="array" ref="AA26">_xlfn.IFS(Z26=4,"A+",Z26=3.6,"A",Z26=3.2,"B+",Z26=2.8,"B",Z26=2.4,"C+",Z26=2,"C",Z26=1.6,"D",TRUE,"NG")</f>
        <v>C</v>
      </c>
      <c r="AB26" s="4">
        <v>22</v>
      </c>
      <c r="AC26" s="5" cm="1">
        <f t="array" ref="AC26">_xlfn.IFS(AB26/25*100&gt;=90,4,AB26/25*100&gt;=80,3.6,AB26/25*100&gt;=70,3.2,AB26/25*100&gt;=60,2.8,AB26/25*100&gt;=50,2.4,AB26/25*100&gt;=40,2,AB26/25*100&gt;=35,1.6,TRUE, 0)</f>
        <v>3.6</v>
      </c>
      <c r="AD26" s="5" t="str" cm="1">
        <f t="array" ref="AD26">_xlfn.IFS(AC26=4,"A+",AC26=3.6,"A",AC26=3.2,"B+",AC26=2.8,"B",AC26=2.4,"C+",AC26=2,"C",AC26=1.6,"D",TRUE,"NG")</f>
        <v>A</v>
      </c>
      <c r="AE26" s="5">
        <f t="shared" si="3"/>
        <v>2.4</v>
      </c>
      <c r="AF26" s="5" t="str" cm="1">
        <f t="array" ref="AF26">_xlfn.IFS(AND(AE26&lt;=4,AE26&gt;3.6),"A+",AND(AE26&lt;=3.6,AE26&gt;3.2),"A",AND(AE26&lt;=3.2,AE26&gt;2.8),"B+",AND(AE26&lt;=2.8,AE26&gt;2.4),"B",AND(AE26&lt;=2.4,AE26&gt;2),"C+",AND(AE26&lt;=2,AE26&gt;1.6),"C",AE26=1.6,"D",TRUE,"NG")</f>
        <v>C+</v>
      </c>
      <c r="AG26" s="4">
        <v>38</v>
      </c>
      <c r="AH26" s="5" cm="1">
        <f t="array" ref="AH26">_xlfn.IFS(AG26/75*100&gt;=90,4,AG26/75*100&gt;=80,3.6,AG26/75*100&gt;=70,3.2,AG26/75*100&gt;=60,2.8,AG26/75*100&gt;=50,2.4,AG26/75*100&gt;=40,2,AG26/75*100&gt;=35,1.6,TRUE, 0)</f>
        <v>2.4</v>
      </c>
      <c r="AI26" s="5" t="str" cm="1">
        <f t="array" ref="AI26">_xlfn.IFS(AH26=4,"A+",AH26=3.6,"A",AH26=3.2,"B+",AH26=2.8,"B",AH26=2.4,"C+",AH26=2,"C",AH26=1.6,"D",TRUE,"NG")</f>
        <v>C+</v>
      </c>
      <c r="AJ26" s="4">
        <v>22</v>
      </c>
      <c r="AK26" s="5" cm="1">
        <f t="array" ref="AK26">_xlfn.IFS(AJ26/25*100&gt;=90,4,AJ26/25*100&gt;=80,3.6,AJ26/25*100&gt;=70,3.2,AJ26/25*100&gt;=60,2.8,AJ26/25*100&gt;=50,2.4,AJ26/25*100&gt;=40,2,AJ26/25*100&gt;=35,1.6,TRUE, 0)</f>
        <v>3.6</v>
      </c>
      <c r="AL26" s="5" t="str" cm="1">
        <f t="array" ref="AL26">_xlfn.IFS(AK26=4,"A+",AK26=3.6,"A",AK26=3.2,"B+",AK26=2.8,"B",AK26=2.4,"C+",AK26=2,"C",AK26=1.6,"D",TRUE,"NG")</f>
        <v>A</v>
      </c>
      <c r="AM26" s="5">
        <f t="shared" si="4"/>
        <v>2.7</v>
      </c>
      <c r="AN26" s="5" t="str" cm="1">
        <f t="array" ref="AN26">_xlfn.IFS(AND(AM26&lt;=4,AM26&gt;3.6),"A+",AND(AM26&lt;=3.6,AM26&gt;3.2),"A",AND(AM26&lt;=3.2,AM26&gt;2.8),"B+",AND(AM26&lt;=2.8,AM26&gt;2.4),"B",AND(AM26&lt;=2.4,AM26&gt;2),"C+",AND(AM26&lt;=2,AM26&gt;1.6),"C",AM26=1.6,"D",TRUE,"NG")</f>
        <v>B</v>
      </c>
      <c r="AO26" s="4">
        <v>43</v>
      </c>
      <c r="AP26" s="5" cm="1">
        <f t="array" ref="AP26">_xlfn.IFS(AO26/75*100&gt;=90,4,AO26/75*100&gt;=80,3.6,AO26/75*100&gt;=70,3.2,AO26/75*100&gt;=60,2.8,AO26/75*100&gt;=50,2.4,AO26/75*100&gt;=40,2,AO26/75*100&gt;=35,1.6,TRUE, 0)</f>
        <v>2.4</v>
      </c>
      <c r="AQ26" s="5" t="str" cm="1">
        <f t="array" ref="AQ26">_xlfn.IFS(AP26=4,"A+",AP26=3.6,"A",AP26=3.2,"B+",AP26=2.8,"B",AP26=2.4,"C+",AP26=2,"C",AP26=1.6,"D",TRUE,"NG")</f>
        <v>C+</v>
      </c>
      <c r="AR26" s="5" cm="1">
        <f t="array" ref="AR26">_xlfn.IFS(AO26&gt;=70,25,AO26&gt;=60,24,AO26&gt;=50,23,AO26&gt;=40,22,AO26&gt;=30,21,TRUE,20)</f>
        <v>22</v>
      </c>
      <c r="AS26" s="5" cm="1">
        <f t="array" ref="AS26">_xlfn.IFS(AR26/25*100&gt;=90,4,AR26/25*100&gt;=80,3.6,AR26/25*100&gt;=70,3.2,AR26/25*100&gt;=60,2.8,AR26/25*100&gt;=50,2.4,AR26/25*100&gt;=40,2,AR26/25*100&gt;=35,1.6,TRUE, 0)</f>
        <v>3.6</v>
      </c>
      <c r="AT26" s="5" t="str" cm="1">
        <f t="array" ref="AT26">_xlfn.IFS(AS26=4,"A+",AS26=3.6,"A",AS26=3.2,"B+",AS26=2.8,"B",AS26=2.4,"C+",AS26=2,"C",AS26=1.6,"D",TRUE,"NG")</f>
        <v>A</v>
      </c>
      <c r="AU26" s="5">
        <f t="shared" si="5"/>
        <v>2.7</v>
      </c>
      <c r="AV26" s="5" t="str" cm="1">
        <f t="array" ref="AV26">_xlfn.IFS(AND(AU26&lt;=4,AU26&gt;3.6),"A+",AND(AU26&lt;=3.6,AU26&gt;3.2),"A",AND(AU26&lt;=3.2,AU26&gt;2.8),"B+",AND(AU26&lt;=2.8,AU26&gt;2.4),"B",AND(AU26&lt;=2.4,AU26&gt;2),"C+",AND(AU26&lt;=2,AU26&gt;1.6),"C",AU26=1.6,"D",TRUE,"NG")</f>
        <v>B</v>
      </c>
      <c r="AW26" s="4">
        <v>30</v>
      </c>
      <c r="AX26" s="5" cm="1">
        <f t="array" ref="AX26">_xlfn.IFS(AW26="-","-",AW26/75*100&gt;=90,4,AW26/75*100&gt;=80,3.6,AW26/75*100&gt;=70,3.2,AW26/75*100&gt;=60,2.8,AW26/75*100&gt;=50,2.4,AW26/75*100&gt;=40,2,AW26/75*100&gt;=35,1.6,TRUE, 0)</f>
        <v>2</v>
      </c>
      <c r="AY26" s="5" t="str" cm="1">
        <f t="array" ref="AY26">_xlfn.IFS(AX26="-","-",AX26=4,"A+",AX26=3.6,"A",AX26=3.2,"B+",AX26=2.8,"B",AX26=2.4,"C+",AX26=2,"C",AX26=1.6,"D",TRUE,"NG")</f>
        <v>C</v>
      </c>
      <c r="AZ26" s="4">
        <v>20</v>
      </c>
      <c r="BA26" s="5" cm="1">
        <f t="array" ref="BA26">_xlfn.IFS(AZ26="-","-",AZ26/25*100&gt;=90,4,AZ26/25*100&gt;=80,3.6,AZ26/25*100&gt;=70,3.2,AZ26/25*100&gt;=60,2.8,AZ26/25*100&gt;=50,2.4,AZ26/25*100&gt;=40,2,AZ26/25*100&gt;=35,1.6,TRUE, 0)</f>
        <v>3.6</v>
      </c>
      <c r="BB26" s="5" t="str" cm="1">
        <f t="array" ref="BB26">_xlfn.IFS(BA26="-","-",BA26=4,"A+",BA26=3.6,"A",BA26=3.2,"B+",BA26=2.8,"B",BA26=2.4,"C+",BA26=2,"C",BA26=1.6,"D",TRUE,"NG")</f>
        <v>A</v>
      </c>
      <c r="BC26" s="5">
        <f t="shared" si="6"/>
        <v>2.4</v>
      </c>
      <c r="BD26" s="5" t="str" cm="1">
        <f t="array" ref="BD26">_xlfn.IFS(BC26="-","-",AND(BC26&lt;=4,BC26&gt;3.6),"A+",AND(BC26&lt;=3.6,BC26&gt;3.2),"A",AND(BC26&lt;=3.2,BC26&gt;2.8),"B+",AND(BC26&lt;=2.8,BC26&gt;2.4),"B",AND(BC26&lt;=2.4,BC26&gt;2),"C+",AND(BC26&lt;=2,BC26&gt;1.6),"C",BC26=1.6,"D",TRUE,"NG")</f>
        <v>C+</v>
      </c>
      <c r="BE26" s="4" t="s">
        <v>63</v>
      </c>
      <c r="BF26" t="str" cm="1">
        <f t="array" ref="BF26">_xlfn.IFS(BE26="-","-",BE26/50*100&gt;=90,4,BE26/50*100&gt;=80,3.6,BE26/50*100&gt;=70,3.2,BE26/50*100&gt;=60,2.8,BE26/50*100&gt;=50,2.4,BE26/50*100&gt;=40,2,BE26/50*100&gt;=35,1.6,TRUE, 0)</f>
        <v>-</v>
      </c>
      <c r="BG26" t="str" cm="1">
        <f t="array" ref="BG26">_xlfn.IFS(BF26="-","-",BF26=4,"A+",BF26=3.6,"A",BF26=3.2,"B+",BF26=2.8,"B",BF26=2.4,"C+",BF26=2,"C",BF26=1.6,"D",TRUE,"NG")</f>
        <v>-</v>
      </c>
      <c r="BH26" s="4" t="s">
        <v>63</v>
      </c>
      <c r="BI26" t="str" cm="1">
        <f t="array" ref="BI26">_xlfn.IFS(BH26="-","-",BH26/50*100&gt;=90,4,BH26/50*100&gt;=80,3.6,BH26/50*100&gt;=70,3.2,BH26/50*100&gt;=60,2.8,BH26/50*100&gt;=50,2.4,BH26/50*100&gt;=40,2,BH26/50*100&gt;=35,1.6,TRUE, 0)</f>
        <v>-</v>
      </c>
      <c r="BJ26" t="str" cm="1">
        <f t="array" ref="BJ26">_xlfn.IFS(BI26="-","-",BI26=4,"A+",BI26=3.6,"A",BI26=3.2,"B+",BI26=2.8,"B",BI26=2.4,"C+",BI26=2,"C",BI26=1.6,"D",TRUE,"NG")</f>
        <v>-</v>
      </c>
      <c r="BK26" t="str">
        <f t="shared" si="7"/>
        <v>-</v>
      </c>
      <c r="BL26" t="str" cm="1">
        <f t="array" ref="BL26">_xlfn.IFS(BK26="-","-",AND(BK26&lt;=4,BK26&gt;3.6),"A+",AND(BK26&lt;=3.6,BK26&gt;3.2),"A",AND(BK26&lt;=3.2,BK26&gt;2.8),"B+",AND(BK26&lt;=2.8,BK26&gt;2.4),"B",AND(BK26&lt;=2.4,BK26&gt;2),"C+",AND(BK26&lt;=2,BK26&gt;1.6),"C",BK26=1.6,"D",TRUE,"NG")</f>
        <v>-</v>
      </c>
      <c r="BM26" s="9" cm="1">
        <f t="array" ref="BM26">_xlfn.IFS(AW26&lt;&gt;"-",((J26*3+M26*1)+(R26*2.25+U26*0.75)+(Z26*3.75+AC26*1.25)+(AH26*3.75+AK26*1.25)+(AP26*3.75+AS26*1.25)+(AX26*3.75+BA26*1.25))/(4+3+5*4),BE26&lt;&gt;"-",((J26*3+M26*1)+(R26*2.25+U26*0.75)+(Z26*3.75+AC26*1.25)+(AH26*3.75+AK26*1.25)+(AP26*3.75+AS26*1.25)+(BF26*2.5+BI26*2.5))/(4+3+5*4))</f>
        <v>2.574074074074074</v>
      </c>
    </row>
    <row r="27" spans="1:65" x14ac:dyDescent="0.3">
      <c r="A27" s="2">
        <v>126</v>
      </c>
      <c r="B27" s="12">
        <v>793270280052</v>
      </c>
      <c r="C27" s="13">
        <v>12706903</v>
      </c>
      <c r="D27" s="14" t="s">
        <v>92</v>
      </c>
      <c r="E27" s="3" t="s">
        <v>62</v>
      </c>
      <c r="F27" s="15">
        <v>59176</v>
      </c>
      <c r="G27" s="3" t="str">
        <f t="shared" si="0"/>
        <v>2062/01/05</v>
      </c>
      <c r="H27" s="3" t="str" cm="1">
        <f t="array" ref="H27">[1]!bs2ad(G27)</f>
        <v>2005-4-18</v>
      </c>
      <c r="I27" s="4">
        <v>41</v>
      </c>
      <c r="J27" s="5" cm="1">
        <f t="array" ref="J27">_xlfn.IFS(I27/75*100&gt;=90,4,I27/75*100&gt;=80,3.6,I27/75*100&gt;=70,3.2,I27/75*100&gt;=60,2.8,I27/75*100&gt;=50,2.4,I27/75*100&gt;=40,2,I27/75*100&gt;=35,1.6,TRUE, 0)</f>
        <v>2.4</v>
      </c>
      <c r="K27" s="5" t="str" cm="1">
        <f t="array" ref="K27">_xlfn.IFS(J27=4,"A+",J27=3.6,"A",J27=3.2,"B+",J27=2.8,"B",J27=2.4,"C+",J27=2,"C",J27=1.6,"D",TRUE,"NG")</f>
        <v>C+</v>
      </c>
      <c r="L27" s="4">
        <v>21</v>
      </c>
      <c r="M27" s="5" cm="1">
        <f t="array" ref="M27">_xlfn.IFS(L27/25*100&gt;=90,4,L27/25*100&gt;=80,3.6,L27/25*100&gt;=70,3.2,L27/25*100&gt;=60,2.8,L27/25*100&gt;=50,2.4,L27/25*100&gt;=40,2,L27/25*100&gt;=35,1.6,TRUE, 0)</f>
        <v>3.6</v>
      </c>
      <c r="N27" s="5" t="str" cm="1">
        <f t="array" ref="N27">_xlfn.IFS(M27=4,"A+",M27=3.6,"A",M27=3.2,"B+",M27=2.8,"B",M27=2.4,"C+",M27=2,"C",M27=1.6,"D",TRUE,"NG")</f>
        <v>A</v>
      </c>
      <c r="O27" s="5">
        <f t="shared" si="1"/>
        <v>2.6999999999999997</v>
      </c>
      <c r="P27" s="5" t="str" cm="1">
        <f t="array" ref="P27">_xlfn.IFS(AND(O27&lt;=4,O27&gt;3.6),"A+",AND(O27&lt;=3.6,O27&gt;3.2),"A",AND(O27&lt;=3.2,O27&gt;2.8),"B+",AND(O27&lt;=2.8,O27&gt;2.4),"B",AND(O27&lt;=2.4,O27&gt;2),"C+",AND(O27&lt;=2,O27&gt;1.6),"C",O27=1.6,"D",TRUE,"NG")</f>
        <v>B</v>
      </c>
      <c r="Q27" s="4">
        <v>29</v>
      </c>
      <c r="R27" s="5" cm="1">
        <f t="array" ref="R27">_xlfn.IFS(Q27/75*100&gt;=90,4,Q27/75*100&gt;=80,3.6,Q27/75*100&gt;=70,3.2,Q27/75*100&gt;=60,2.8,Q27/75*100&gt;=50,2.4,Q27/75*100&gt;=40,2,Q27/75*100&gt;=35,1.6,TRUE, 0)</f>
        <v>1.6</v>
      </c>
      <c r="S27" s="5" t="str" cm="1">
        <f t="array" ref="S27">_xlfn.IFS(R27=4,"A+",R27=3.6,"A",R27=3.2,"B+",R27=2.8,"B",R27=2.4,"C+",R27=2,"C",R27=1.6,"D",TRUE,"NG")</f>
        <v>D</v>
      </c>
      <c r="T27" s="5" cm="1">
        <f t="array" ref="T27">_xlfn.IFS(Q27&gt;=70,25,Q27&gt;=60,24,Q27&gt;=50,23,Q27&gt;=40,22,Q27&gt;=30,21,TRUE,20)</f>
        <v>20</v>
      </c>
      <c r="U27" s="5" cm="1">
        <f t="array" ref="U27">_xlfn.IFS(T27/25*100&gt;=90,4,T27/25*100&gt;=80,3.6,T27/25*100&gt;=70,3.2,T27/25*100&gt;=60,2.8,T27/25*100&gt;=50,2.4,T27/25*100&gt;=40,2,T27/25*100&gt;=35,1.6,TRUE, 0)</f>
        <v>3.6</v>
      </c>
      <c r="V27" s="5" t="str" cm="1">
        <f t="array" ref="V27">_xlfn.IFS(U27=4,"A+",U27=3.6,"A",U27=3.2,"B+",U27=2.8,"B",U27=2.4,"C+",U27=2,"C",U27=1.6,"D",TRUE,"NG")</f>
        <v>A</v>
      </c>
      <c r="W27" s="5">
        <f t="shared" si="2"/>
        <v>2.1</v>
      </c>
      <c r="X27" s="5" t="str" cm="1">
        <f t="array" ref="X27">_xlfn.IFS(AND(W27&lt;=4,W27&gt;3.6),"A+",AND(W27&lt;=3.6,W27&gt;3.2),"A",AND(W27&lt;=3.2,W27&gt;2.8),"B+",AND(W27&lt;=2.8,W27&gt;2.4),"B",AND(W27&lt;=2.4,W27&gt;2),"C+",AND(W27&lt;=2,W27&gt;1.6),"C",W27=1.6,"D",TRUE,"NG")</f>
        <v>C+</v>
      </c>
      <c r="Y27" s="4">
        <v>40</v>
      </c>
      <c r="Z27" s="5" cm="1">
        <f t="array" ref="Z27">_xlfn.IFS(Y27/75*100&gt;=90,4,Y27/75*100&gt;=80,3.6,Y27/75*100&gt;=70,3.2,Y27/75*100&gt;=60,2.8,Y27/75*100&gt;=50,2.4,Y27/75*100&gt;=40,2,Y27/75*100&gt;=35,1.6,TRUE, 0)</f>
        <v>2.4</v>
      </c>
      <c r="AA27" s="5" t="str" cm="1">
        <f t="array" ref="AA27">_xlfn.IFS(Z27=4,"A+",Z27=3.6,"A",Z27=3.2,"B+",Z27=2.8,"B",Z27=2.4,"C+",Z27=2,"C",Z27=1.6,"D",TRUE,"NG")</f>
        <v>C+</v>
      </c>
      <c r="AB27" s="4">
        <v>21</v>
      </c>
      <c r="AC27" s="5" cm="1">
        <f t="array" ref="AC27">_xlfn.IFS(AB27/25*100&gt;=90,4,AB27/25*100&gt;=80,3.6,AB27/25*100&gt;=70,3.2,AB27/25*100&gt;=60,2.8,AB27/25*100&gt;=50,2.4,AB27/25*100&gt;=40,2,AB27/25*100&gt;=35,1.6,TRUE, 0)</f>
        <v>3.6</v>
      </c>
      <c r="AD27" s="5" t="str" cm="1">
        <f t="array" ref="AD27">_xlfn.IFS(AC27=4,"A+",AC27=3.6,"A",AC27=3.2,"B+",AC27=2.8,"B",AC27=2.4,"C+",AC27=2,"C",AC27=1.6,"D",TRUE,"NG")</f>
        <v>A</v>
      </c>
      <c r="AE27" s="5">
        <f t="shared" si="3"/>
        <v>2.7</v>
      </c>
      <c r="AF27" s="5" t="str" cm="1">
        <f t="array" ref="AF27">_xlfn.IFS(AND(AE27&lt;=4,AE27&gt;3.6),"A+",AND(AE27&lt;=3.6,AE27&gt;3.2),"A",AND(AE27&lt;=3.2,AE27&gt;2.8),"B+",AND(AE27&lt;=2.8,AE27&gt;2.4),"B",AND(AE27&lt;=2.4,AE27&gt;2),"C+",AND(AE27&lt;=2,AE27&gt;1.6),"C",AE27=1.6,"D",TRUE,"NG")</f>
        <v>B</v>
      </c>
      <c r="AG27" s="4">
        <v>30</v>
      </c>
      <c r="AH27" s="5" cm="1">
        <f t="array" ref="AH27">_xlfn.IFS(AG27/75*100&gt;=90,4,AG27/75*100&gt;=80,3.6,AG27/75*100&gt;=70,3.2,AG27/75*100&gt;=60,2.8,AG27/75*100&gt;=50,2.4,AG27/75*100&gt;=40,2,AG27/75*100&gt;=35,1.6,TRUE, 0)</f>
        <v>2</v>
      </c>
      <c r="AI27" s="5" t="str" cm="1">
        <f t="array" ref="AI27">_xlfn.IFS(AH27=4,"A+",AH27=3.6,"A",AH27=3.2,"B+",AH27=2.8,"B",AH27=2.4,"C+",AH27=2,"C",AH27=1.6,"D",TRUE,"NG")</f>
        <v>C</v>
      </c>
      <c r="AJ27" s="4">
        <v>23</v>
      </c>
      <c r="AK27" s="5" cm="1">
        <f t="array" ref="AK27">_xlfn.IFS(AJ27/25*100&gt;=90,4,AJ27/25*100&gt;=80,3.6,AJ27/25*100&gt;=70,3.2,AJ27/25*100&gt;=60,2.8,AJ27/25*100&gt;=50,2.4,AJ27/25*100&gt;=40,2,AJ27/25*100&gt;=35,1.6,TRUE, 0)</f>
        <v>4</v>
      </c>
      <c r="AL27" s="5" t="str" cm="1">
        <f t="array" ref="AL27">_xlfn.IFS(AK27=4,"A+",AK27=3.6,"A",AK27=3.2,"B+",AK27=2.8,"B",AK27=2.4,"C+",AK27=2,"C",AK27=1.6,"D",TRUE,"NG")</f>
        <v>A+</v>
      </c>
      <c r="AM27" s="5">
        <f t="shared" si="4"/>
        <v>2.5</v>
      </c>
      <c r="AN27" s="5" t="str" cm="1">
        <f t="array" ref="AN27">_xlfn.IFS(AND(AM27&lt;=4,AM27&gt;3.6),"A+",AND(AM27&lt;=3.6,AM27&gt;3.2),"A",AND(AM27&lt;=3.2,AM27&gt;2.8),"B+",AND(AM27&lt;=2.8,AM27&gt;2.4),"B",AND(AM27&lt;=2.4,AM27&gt;2),"C+",AND(AM27&lt;=2,AM27&gt;1.6),"C",AM27=1.6,"D",TRUE,"NG")</f>
        <v>B</v>
      </c>
      <c r="AO27" s="4">
        <v>42</v>
      </c>
      <c r="AP27" s="5" cm="1">
        <f t="array" ref="AP27">_xlfn.IFS(AO27/75*100&gt;=90,4,AO27/75*100&gt;=80,3.6,AO27/75*100&gt;=70,3.2,AO27/75*100&gt;=60,2.8,AO27/75*100&gt;=50,2.4,AO27/75*100&gt;=40,2,AO27/75*100&gt;=35,1.6,TRUE, 0)</f>
        <v>2.4</v>
      </c>
      <c r="AQ27" s="5" t="str" cm="1">
        <f t="array" ref="AQ27">_xlfn.IFS(AP27=4,"A+",AP27=3.6,"A",AP27=3.2,"B+",AP27=2.8,"B",AP27=2.4,"C+",AP27=2,"C",AP27=1.6,"D",TRUE,"NG")</f>
        <v>C+</v>
      </c>
      <c r="AR27" s="5" cm="1">
        <f t="array" ref="AR27">_xlfn.IFS(AO27&gt;=70,25,AO27&gt;=60,24,AO27&gt;=50,23,AO27&gt;=40,22,AO27&gt;=30,21,TRUE,20)</f>
        <v>22</v>
      </c>
      <c r="AS27" s="5" cm="1">
        <f t="array" ref="AS27">_xlfn.IFS(AR27/25*100&gt;=90,4,AR27/25*100&gt;=80,3.6,AR27/25*100&gt;=70,3.2,AR27/25*100&gt;=60,2.8,AR27/25*100&gt;=50,2.4,AR27/25*100&gt;=40,2,AR27/25*100&gt;=35,1.6,TRUE, 0)</f>
        <v>3.6</v>
      </c>
      <c r="AT27" s="5" t="str" cm="1">
        <f t="array" ref="AT27">_xlfn.IFS(AS27=4,"A+",AS27=3.6,"A",AS27=3.2,"B+",AS27=2.8,"B",AS27=2.4,"C+",AS27=2,"C",AS27=1.6,"D",TRUE,"NG")</f>
        <v>A</v>
      </c>
      <c r="AU27" s="5">
        <f t="shared" si="5"/>
        <v>2.7</v>
      </c>
      <c r="AV27" s="5" t="str" cm="1">
        <f t="array" ref="AV27">_xlfn.IFS(AND(AU27&lt;=4,AU27&gt;3.6),"A+",AND(AU27&lt;=3.6,AU27&gt;3.2),"A",AND(AU27&lt;=3.2,AU27&gt;2.8),"B+",AND(AU27&lt;=2.8,AU27&gt;2.4),"B",AND(AU27&lt;=2.4,AU27&gt;2),"C+",AND(AU27&lt;=2,AU27&gt;1.6),"C",AU27=1.6,"D",TRUE,"NG")</f>
        <v>B</v>
      </c>
      <c r="AW27" s="4" t="s">
        <v>63</v>
      </c>
      <c r="AX27" s="5" t="str" cm="1">
        <f t="array" ref="AX27">_xlfn.IFS(AW27="-","-",AW27/75*100&gt;=90,4,AW27/75*100&gt;=80,3.6,AW27/75*100&gt;=70,3.2,AW27/75*100&gt;=60,2.8,AW27/75*100&gt;=50,2.4,AW27/75*100&gt;=40,2,AW27/75*100&gt;=35,1.6,TRUE, 0)</f>
        <v>-</v>
      </c>
      <c r="AY27" s="5" t="str" cm="1">
        <f t="array" ref="AY27">_xlfn.IFS(AX27="-","-",AX27=4,"A+",AX27=3.6,"A",AX27=3.2,"B+",AX27=2.8,"B",AX27=2.4,"C+",AX27=2,"C",AX27=1.6,"D",TRUE,"NG")</f>
        <v>-</v>
      </c>
      <c r="AZ27" s="4" t="s">
        <v>63</v>
      </c>
      <c r="BA27" s="5" t="str" cm="1">
        <f t="array" ref="BA27">_xlfn.IFS(AZ27="-","-",AZ27/25*100&gt;=90,4,AZ27/25*100&gt;=80,3.6,AZ27/25*100&gt;=70,3.2,AZ27/25*100&gt;=60,2.8,AZ27/25*100&gt;=50,2.4,AZ27/25*100&gt;=40,2,AZ27/25*100&gt;=35,1.6,TRUE, 0)</f>
        <v>-</v>
      </c>
      <c r="BB27" s="5" t="str" cm="1">
        <f t="array" ref="BB27">_xlfn.IFS(BA27="-","-",BA27=4,"A+",BA27=3.6,"A",BA27=3.2,"B+",BA27=2.8,"B",BA27=2.4,"C+",BA27=2,"C",BA27=1.6,"D",TRUE,"NG")</f>
        <v>-</v>
      </c>
      <c r="BC27" s="5" t="str">
        <f t="shared" si="6"/>
        <v>-</v>
      </c>
      <c r="BD27" s="5" t="str" cm="1">
        <f t="array" ref="BD27">_xlfn.IFS(BC27="-","-",AND(BC27&lt;=4,BC27&gt;3.6),"A+",AND(BC27&lt;=3.6,BC27&gt;3.2),"A",AND(BC27&lt;=3.2,BC27&gt;2.8),"B+",AND(BC27&lt;=2.8,BC27&gt;2.4),"B",AND(BC27&lt;=2.4,BC27&gt;2),"C+",AND(BC27&lt;=2,BC27&gt;1.6),"C",BC27=1.6,"D",TRUE,"NG")</f>
        <v>-</v>
      </c>
      <c r="BE27" s="4">
        <v>20</v>
      </c>
      <c r="BF27" cm="1">
        <f t="array" ref="BF27">_xlfn.IFS(BE27="-","-",BE27/50*100&gt;=90,4,BE27/50*100&gt;=80,3.6,BE27/50*100&gt;=70,3.2,BE27/50*100&gt;=60,2.8,BE27/50*100&gt;=50,2.4,BE27/50*100&gt;=40,2,BE27/50*100&gt;=35,1.6,TRUE, 0)</f>
        <v>2</v>
      </c>
      <c r="BG27" t="str" cm="1">
        <f t="array" ref="BG27">_xlfn.IFS(BF27="-","-",BF27=4,"A+",BF27=3.6,"A",BF27=3.2,"B+",BF27=2.8,"B",BF27=2.4,"C+",BF27=2,"C",BF27=1.6,"D",TRUE,"NG")</f>
        <v>C</v>
      </c>
      <c r="BH27" s="4">
        <v>46</v>
      </c>
      <c r="BI27" cm="1">
        <f t="array" ref="BI27">_xlfn.IFS(BH27="-","-",BH27/50*100&gt;=90,4,BH27/50*100&gt;=80,3.6,BH27/50*100&gt;=70,3.2,BH27/50*100&gt;=60,2.8,BH27/50*100&gt;=50,2.4,BH27/50*100&gt;=40,2,BH27/50*100&gt;=35,1.6,TRUE, 0)</f>
        <v>4</v>
      </c>
      <c r="BJ27" t="str" cm="1">
        <f t="array" ref="BJ27">_xlfn.IFS(BI27="-","-",BI27=4,"A+",BI27=3.6,"A",BI27=3.2,"B+",BI27=2.8,"B",BI27=2.4,"C+",BI27=2,"C",BI27=1.6,"D",TRUE,"NG")</f>
        <v>A+</v>
      </c>
      <c r="BK27">
        <f t="shared" si="7"/>
        <v>3</v>
      </c>
      <c r="BL27" t="str" cm="1">
        <f t="array" ref="BL27">_xlfn.IFS(BK27="-","-",AND(BK27&lt;=4,BK27&gt;3.6),"A+",AND(BK27&lt;=3.6,BK27&gt;3.2),"A",AND(BK27&lt;=3.2,BK27&gt;2.8),"B+",AND(BK27&lt;=2.8,BK27&gt;2.4),"B",AND(BK27&lt;=2.4,BK27&gt;2),"C+",AND(BK27&lt;=2,BK27&gt;1.6),"C",BK27=1.6,"D",TRUE,"NG")</f>
        <v>B+</v>
      </c>
      <c r="BM27" s="9" cm="1">
        <f t="array" ref="BM27">_xlfn.IFS(AW27&lt;&gt;"-",((J27*3+M27*1)+(R27*2.25+U27*0.75)+(Z27*3.75+AC27*1.25)+(AH27*3.75+AK27*1.25)+(AP27*3.75+AS27*1.25)+(AX27*3.75+BA27*1.25))/(4+3+5*4),BE27&lt;&gt;"-",((J27*3+M27*1)+(R27*2.25+U27*0.75)+(Z27*3.75+AC27*1.25)+(AH27*3.75+AK27*1.25)+(AP27*3.75+AS27*1.25)+(BF27*2.5+BI27*2.5))/(4+3+5*4))</f>
        <v>2.6518518518518515</v>
      </c>
    </row>
    <row r="28" spans="1:65" x14ac:dyDescent="0.3">
      <c r="A28" s="2">
        <v>127</v>
      </c>
      <c r="B28" s="12">
        <v>793270280061</v>
      </c>
      <c r="C28" s="13">
        <v>12706912</v>
      </c>
      <c r="D28" s="14" t="s">
        <v>93</v>
      </c>
      <c r="E28" s="3" t="s">
        <v>64</v>
      </c>
      <c r="F28" s="15">
        <v>59216</v>
      </c>
      <c r="G28" s="3" t="str">
        <f t="shared" si="0"/>
        <v>2062/02/14</v>
      </c>
      <c r="H28" s="3" t="str" cm="1">
        <f t="array" ref="H28">[1]!bs2ad(G28)</f>
        <v>2005-5-27</v>
      </c>
      <c r="I28" s="4">
        <v>44</v>
      </c>
      <c r="J28" s="5" cm="1">
        <f t="array" ref="J28">_xlfn.IFS(I28/75*100&gt;=90,4,I28/75*100&gt;=80,3.6,I28/75*100&gt;=70,3.2,I28/75*100&gt;=60,2.8,I28/75*100&gt;=50,2.4,I28/75*100&gt;=40,2,I28/75*100&gt;=35,1.6,TRUE, 0)</f>
        <v>2.4</v>
      </c>
      <c r="K28" s="5" t="str" cm="1">
        <f t="array" ref="K28">_xlfn.IFS(J28=4,"A+",J28=3.6,"A",J28=3.2,"B+",J28=2.8,"B",J28=2.4,"C+",J28=2,"C",J28=1.6,"D",TRUE,"NG")</f>
        <v>C+</v>
      </c>
      <c r="L28" s="4">
        <v>23</v>
      </c>
      <c r="M28" s="5" cm="1">
        <f t="array" ref="M28">_xlfn.IFS(L28/25*100&gt;=90,4,L28/25*100&gt;=80,3.6,L28/25*100&gt;=70,3.2,L28/25*100&gt;=60,2.8,L28/25*100&gt;=50,2.4,L28/25*100&gt;=40,2,L28/25*100&gt;=35,1.6,TRUE, 0)</f>
        <v>4</v>
      </c>
      <c r="N28" s="5" t="str" cm="1">
        <f t="array" ref="N28">_xlfn.IFS(M28=4,"A+",M28=3.6,"A",M28=3.2,"B+",M28=2.8,"B",M28=2.4,"C+",M28=2,"C",M28=1.6,"D",TRUE,"NG")</f>
        <v>A+</v>
      </c>
      <c r="O28" s="5">
        <f t="shared" si="1"/>
        <v>2.8</v>
      </c>
      <c r="P28" s="5" t="str" cm="1">
        <f t="array" ref="P28">_xlfn.IFS(AND(O28&lt;=4,O28&gt;3.6),"A+",AND(O28&lt;=3.6,O28&gt;3.2),"A",AND(O28&lt;=3.2,O28&gt;2.8),"B+",AND(O28&lt;=2.8,O28&gt;2.4),"B",AND(O28&lt;=2.4,O28&gt;2),"C+",AND(O28&lt;=2,O28&gt;1.6),"C",O28=1.6,"D",TRUE,"NG")</f>
        <v>B</v>
      </c>
      <c r="Q28" s="4">
        <v>46</v>
      </c>
      <c r="R28" s="5" cm="1">
        <f t="array" ref="R28">_xlfn.IFS(Q28/75*100&gt;=90,4,Q28/75*100&gt;=80,3.6,Q28/75*100&gt;=70,3.2,Q28/75*100&gt;=60,2.8,Q28/75*100&gt;=50,2.4,Q28/75*100&gt;=40,2,Q28/75*100&gt;=35,1.6,TRUE, 0)</f>
        <v>2.8</v>
      </c>
      <c r="S28" s="5" t="str" cm="1">
        <f t="array" ref="S28">_xlfn.IFS(R28=4,"A+",R28=3.6,"A",R28=3.2,"B+",R28=2.8,"B",R28=2.4,"C+",R28=2,"C",R28=1.6,"D",TRUE,"NG")</f>
        <v>B</v>
      </c>
      <c r="T28" s="5" cm="1">
        <f t="array" ref="T28">_xlfn.IFS(Q28&gt;=70,25,Q28&gt;=60,24,Q28&gt;=50,23,Q28&gt;=40,22,Q28&gt;=30,21,TRUE,20)</f>
        <v>22</v>
      </c>
      <c r="U28" s="5" cm="1">
        <f t="array" ref="U28">_xlfn.IFS(T28/25*100&gt;=90,4,T28/25*100&gt;=80,3.6,T28/25*100&gt;=70,3.2,T28/25*100&gt;=60,2.8,T28/25*100&gt;=50,2.4,T28/25*100&gt;=40,2,T28/25*100&gt;=35,1.6,TRUE, 0)</f>
        <v>3.6</v>
      </c>
      <c r="V28" s="5" t="str" cm="1">
        <f t="array" ref="V28">_xlfn.IFS(U28=4,"A+",U28=3.6,"A",U28=3.2,"B+",U28=2.8,"B",U28=2.4,"C+",U28=2,"C",U28=1.6,"D",TRUE,"NG")</f>
        <v>A</v>
      </c>
      <c r="W28" s="5">
        <f t="shared" si="2"/>
        <v>3</v>
      </c>
      <c r="X28" s="5" t="str" cm="1">
        <f t="array" ref="X28">_xlfn.IFS(AND(W28&lt;=4,W28&gt;3.6),"A+",AND(W28&lt;=3.6,W28&gt;3.2),"A",AND(W28&lt;=3.2,W28&gt;2.8),"B+",AND(W28&lt;=2.8,W28&gt;2.4),"B",AND(W28&lt;=2.4,W28&gt;2),"C+",AND(W28&lt;=2,W28&gt;1.6),"C",W28=1.6,"D",TRUE,"NG")</f>
        <v>B+</v>
      </c>
      <c r="Y28" s="4">
        <v>30</v>
      </c>
      <c r="Z28" s="5" cm="1">
        <f t="array" ref="Z28">_xlfn.IFS(Y28/75*100&gt;=90,4,Y28/75*100&gt;=80,3.6,Y28/75*100&gt;=70,3.2,Y28/75*100&gt;=60,2.8,Y28/75*100&gt;=50,2.4,Y28/75*100&gt;=40,2,Y28/75*100&gt;=35,1.6,TRUE, 0)</f>
        <v>2</v>
      </c>
      <c r="AA28" s="5" t="str" cm="1">
        <f t="array" ref="AA28">_xlfn.IFS(Z28=4,"A+",Z28=3.6,"A",Z28=3.2,"B+",Z28=2.8,"B",Z28=2.4,"C+",Z28=2,"C",Z28=1.6,"D",TRUE,"NG")</f>
        <v>C</v>
      </c>
      <c r="AB28" s="4">
        <v>18</v>
      </c>
      <c r="AC28" s="5" cm="1">
        <f t="array" ref="AC28">_xlfn.IFS(AB28/25*100&gt;=90,4,AB28/25*100&gt;=80,3.6,AB28/25*100&gt;=70,3.2,AB28/25*100&gt;=60,2.8,AB28/25*100&gt;=50,2.4,AB28/25*100&gt;=40,2,AB28/25*100&gt;=35,1.6,TRUE, 0)</f>
        <v>3.2</v>
      </c>
      <c r="AD28" s="5" t="str" cm="1">
        <f t="array" ref="AD28">_xlfn.IFS(AC28=4,"A+",AC28=3.6,"A",AC28=3.2,"B+",AC28=2.8,"B",AC28=2.4,"C+",AC28=2,"C",AC28=1.6,"D",TRUE,"NG")</f>
        <v>B+</v>
      </c>
      <c r="AE28" s="5">
        <f t="shared" si="3"/>
        <v>2.2999999999999998</v>
      </c>
      <c r="AF28" s="5" t="str" cm="1">
        <f t="array" ref="AF28">_xlfn.IFS(AND(AE28&lt;=4,AE28&gt;3.6),"A+",AND(AE28&lt;=3.6,AE28&gt;3.2),"A",AND(AE28&lt;=3.2,AE28&gt;2.8),"B+",AND(AE28&lt;=2.8,AE28&gt;2.4),"B",AND(AE28&lt;=2.4,AE28&gt;2),"C+",AND(AE28&lt;=2,AE28&gt;1.6),"C",AE28=1.6,"D",TRUE,"NG")</f>
        <v>C+</v>
      </c>
      <c r="AG28" s="4">
        <v>37</v>
      </c>
      <c r="AH28" s="5" cm="1">
        <f t="array" ref="AH28">_xlfn.IFS(AG28/75*100&gt;=90,4,AG28/75*100&gt;=80,3.6,AG28/75*100&gt;=70,3.2,AG28/75*100&gt;=60,2.8,AG28/75*100&gt;=50,2.4,AG28/75*100&gt;=40,2,AG28/75*100&gt;=35,1.6,TRUE, 0)</f>
        <v>2</v>
      </c>
      <c r="AI28" s="5" t="str" cm="1">
        <f t="array" ref="AI28">_xlfn.IFS(AH28=4,"A+",AH28=3.6,"A",AH28=3.2,"B+",AH28=2.8,"B",AH28=2.4,"C+",AH28=2,"C",AH28=1.6,"D",TRUE,"NG")</f>
        <v>C</v>
      </c>
      <c r="AJ28" s="4">
        <v>18</v>
      </c>
      <c r="AK28" s="5" cm="1">
        <f t="array" ref="AK28">_xlfn.IFS(AJ28/25*100&gt;=90,4,AJ28/25*100&gt;=80,3.6,AJ28/25*100&gt;=70,3.2,AJ28/25*100&gt;=60,2.8,AJ28/25*100&gt;=50,2.4,AJ28/25*100&gt;=40,2,AJ28/25*100&gt;=35,1.6,TRUE, 0)</f>
        <v>3.2</v>
      </c>
      <c r="AL28" s="5" t="str" cm="1">
        <f t="array" ref="AL28">_xlfn.IFS(AK28=4,"A+",AK28=3.6,"A",AK28=3.2,"B+",AK28=2.8,"B",AK28=2.4,"C+",AK28=2,"C",AK28=1.6,"D",TRUE,"NG")</f>
        <v>B+</v>
      </c>
      <c r="AM28" s="5">
        <f t="shared" si="4"/>
        <v>2.2999999999999998</v>
      </c>
      <c r="AN28" s="5" t="str" cm="1">
        <f t="array" ref="AN28">_xlfn.IFS(AND(AM28&lt;=4,AM28&gt;3.6),"A+",AND(AM28&lt;=3.6,AM28&gt;3.2),"A",AND(AM28&lt;=3.2,AM28&gt;2.8),"B+",AND(AM28&lt;=2.8,AM28&gt;2.4),"B",AND(AM28&lt;=2.4,AM28&gt;2),"C+",AND(AM28&lt;=2,AM28&gt;1.6),"C",AM28=1.6,"D",TRUE,"NG")</f>
        <v>C+</v>
      </c>
      <c r="AO28" s="4">
        <v>40</v>
      </c>
      <c r="AP28" s="5" cm="1">
        <f t="array" ref="AP28">_xlfn.IFS(AO28/75*100&gt;=90,4,AO28/75*100&gt;=80,3.6,AO28/75*100&gt;=70,3.2,AO28/75*100&gt;=60,2.8,AO28/75*100&gt;=50,2.4,AO28/75*100&gt;=40,2,AO28/75*100&gt;=35,1.6,TRUE, 0)</f>
        <v>2.4</v>
      </c>
      <c r="AQ28" s="5" t="str" cm="1">
        <f t="array" ref="AQ28">_xlfn.IFS(AP28=4,"A+",AP28=3.6,"A",AP28=3.2,"B+",AP28=2.8,"B",AP28=2.4,"C+",AP28=2,"C",AP28=1.6,"D",TRUE,"NG")</f>
        <v>C+</v>
      </c>
      <c r="AR28" s="5" cm="1">
        <f t="array" ref="AR28">_xlfn.IFS(AO28&gt;=70,25,AO28&gt;=60,24,AO28&gt;=50,23,AO28&gt;=40,22,AO28&gt;=30,21,TRUE,20)</f>
        <v>22</v>
      </c>
      <c r="AS28" s="5" cm="1">
        <f t="array" ref="AS28">_xlfn.IFS(AR28/25*100&gt;=90,4,AR28/25*100&gt;=80,3.6,AR28/25*100&gt;=70,3.2,AR28/25*100&gt;=60,2.8,AR28/25*100&gt;=50,2.4,AR28/25*100&gt;=40,2,AR28/25*100&gt;=35,1.6,TRUE, 0)</f>
        <v>3.6</v>
      </c>
      <c r="AT28" s="5" t="str" cm="1">
        <f t="array" ref="AT28">_xlfn.IFS(AS28=4,"A+",AS28=3.6,"A",AS28=3.2,"B+",AS28=2.8,"B",AS28=2.4,"C+",AS28=2,"C",AS28=1.6,"D",TRUE,"NG")</f>
        <v>A</v>
      </c>
      <c r="AU28" s="5">
        <f t="shared" si="5"/>
        <v>2.7</v>
      </c>
      <c r="AV28" s="5" t="str" cm="1">
        <f t="array" ref="AV28">_xlfn.IFS(AND(AU28&lt;=4,AU28&gt;3.6),"A+",AND(AU28&lt;=3.6,AU28&gt;3.2),"A",AND(AU28&lt;=3.2,AU28&gt;2.8),"B+",AND(AU28&lt;=2.8,AU28&gt;2.4),"B",AND(AU28&lt;=2.4,AU28&gt;2),"C+",AND(AU28&lt;=2,AU28&gt;1.6),"C",AU28=1.6,"D",TRUE,"NG")</f>
        <v>B</v>
      </c>
      <c r="AW28" s="4">
        <v>31</v>
      </c>
      <c r="AX28" s="5" cm="1">
        <f t="array" ref="AX28">_xlfn.IFS(AW28="-","-",AW28/75*100&gt;=90,4,AW28/75*100&gt;=80,3.6,AW28/75*100&gt;=70,3.2,AW28/75*100&gt;=60,2.8,AW28/75*100&gt;=50,2.4,AW28/75*100&gt;=40,2,AW28/75*100&gt;=35,1.6,TRUE, 0)</f>
        <v>2</v>
      </c>
      <c r="AY28" s="5" t="str" cm="1">
        <f t="array" ref="AY28">_xlfn.IFS(AX28="-","-",AX28=4,"A+",AX28=3.6,"A",AX28=3.2,"B+",AX28=2.8,"B",AX28=2.4,"C+",AX28=2,"C",AX28=1.6,"D",TRUE,"NG")</f>
        <v>C</v>
      </c>
      <c r="AZ28" s="4">
        <v>20</v>
      </c>
      <c r="BA28" s="5" cm="1">
        <f t="array" ref="BA28">_xlfn.IFS(AZ28="-","-",AZ28/25*100&gt;=90,4,AZ28/25*100&gt;=80,3.6,AZ28/25*100&gt;=70,3.2,AZ28/25*100&gt;=60,2.8,AZ28/25*100&gt;=50,2.4,AZ28/25*100&gt;=40,2,AZ28/25*100&gt;=35,1.6,TRUE, 0)</f>
        <v>3.6</v>
      </c>
      <c r="BB28" s="5" t="str" cm="1">
        <f t="array" ref="BB28">_xlfn.IFS(BA28="-","-",BA28=4,"A+",BA28=3.6,"A",BA28=3.2,"B+",BA28=2.8,"B",BA28=2.4,"C+",BA28=2,"C",BA28=1.6,"D",TRUE,"NG")</f>
        <v>A</v>
      </c>
      <c r="BC28" s="5">
        <f t="shared" si="6"/>
        <v>2.4</v>
      </c>
      <c r="BD28" s="5" t="str" cm="1">
        <f t="array" ref="BD28">_xlfn.IFS(BC28="-","-",AND(BC28&lt;=4,BC28&gt;3.6),"A+",AND(BC28&lt;=3.6,BC28&gt;3.2),"A",AND(BC28&lt;=3.2,BC28&gt;2.8),"B+",AND(BC28&lt;=2.8,BC28&gt;2.4),"B",AND(BC28&lt;=2.4,BC28&gt;2),"C+",AND(BC28&lt;=2,BC28&gt;1.6),"C",BC28=1.6,"D",TRUE,"NG")</f>
        <v>C+</v>
      </c>
      <c r="BE28" s="4" t="s">
        <v>63</v>
      </c>
      <c r="BF28" t="str" cm="1">
        <f t="array" ref="BF28">_xlfn.IFS(BE28="-","-",BE28/50*100&gt;=90,4,BE28/50*100&gt;=80,3.6,BE28/50*100&gt;=70,3.2,BE28/50*100&gt;=60,2.8,BE28/50*100&gt;=50,2.4,BE28/50*100&gt;=40,2,BE28/50*100&gt;=35,1.6,TRUE, 0)</f>
        <v>-</v>
      </c>
      <c r="BG28" t="str" cm="1">
        <f t="array" ref="BG28">_xlfn.IFS(BF28="-","-",BF28=4,"A+",BF28=3.6,"A",BF28=3.2,"B+",BF28=2.8,"B",BF28=2.4,"C+",BF28=2,"C",BF28=1.6,"D",TRUE,"NG")</f>
        <v>-</v>
      </c>
      <c r="BH28" s="4" t="s">
        <v>63</v>
      </c>
      <c r="BI28" t="str" cm="1">
        <f t="array" ref="BI28">_xlfn.IFS(BH28="-","-",BH28/50*100&gt;=90,4,BH28/50*100&gt;=80,3.6,BH28/50*100&gt;=70,3.2,BH28/50*100&gt;=60,2.8,BH28/50*100&gt;=50,2.4,BH28/50*100&gt;=40,2,BH28/50*100&gt;=35,1.6,TRUE, 0)</f>
        <v>-</v>
      </c>
      <c r="BJ28" t="str" cm="1">
        <f t="array" ref="BJ28">_xlfn.IFS(BI28="-","-",BI28=4,"A+",BI28=3.6,"A",BI28=3.2,"B+",BI28=2.8,"B",BI28=2.4,"C+",BI28=2,"C",BI28=1.6,"D",TRUE,"NG")</f>
        <v>-</v>
      </c>
      <c r="BK28" t="str">
        <f t="shared" si="7"/>
        <v>-</v>
      </c>
      <c r="BL28" t="str" cm="1">
        <f t="array" ref="BL28">_xlfn.IFS(BK28="-","-",AND(BK28&lt;=4,BK28&gt;3.6),"A+",AND(BK28&lt;=3.6,BK28&gt;3.2),"A",AND(BK28&lt;=3.2,BK28&gt;2.8),"B+",AND(BK28&lt;=2.8,BK28&gt;2.4),"B",AND(BK28&lt;=2.4,BK28&gt;2),"C+",AND(BK28&lt;=2,BK28&gt;1.6),"C",BK28=1.6,"D",TRUE,"NG")</f>
        <v>-</v>
      </c>
      <c r="BM28" s="9" cm="1">
        <f t="array" ref="BM28">_xlfn.IFS(AW28&lt;&gt;"-",((J28*3+M28*1)+(R28*2.25+U28*0.75)+(Z28*3.75+AC28*1.25)+(AH28*3.75+AK28*1.25)+(AP28*3.75+AS28*1.25)+(AX28*3.75+BA28*1.25))/(4+3+5*4),BE28&lt;&gt;"-",((J28*3+M28*1)+(R28*2.25+U28*0.75)+(Z28*3.75+AC28*1.25)+(AH28*3.75+AK28*1.25)+(AP28*3.75+AS28*1.25)+(BF28*2.5+BI28*2.5))/(4+3+5*4))</f>
        <v>2.5444444444444447</v>
      </c>
    </row>
    <row r="29" spans="1:65" x14ac:dyDescent="0.3">
      <c r="A29" s="2">
        <v>128</v>
      </c>
      <c r="B29" s="12">
        <v>793270280056</v>
      </c>
      <c r="C29" s="13">
        <v>12706907</v>
      </c>
      <c r="D29" s="14" t="s">
        <v>94</v>
      </c>
      <c r="E29" s="3" t="s">
        <v>64</v>
      </c>
      <c r="F29" s="15">
        <v>59124</v>
      </c>
      <c r="G29" s="3" t="str">
        <f t="shared" si="0"/>
        <v>2061/11/14</v>
      </c>
      <c r="H29" s="3" t="str" cm="1">
        <f t="array" ref="H29">[1]!bs2ad(G29)</f>
        <v>2005-2-25</v>
      </c>
      <c r="I29" s="4">
        <v>63</v>
      </c>
      <c r="J29" s="5" cm="1">
        <f t="array" ref="J29">_xlfn.IFS(I29/75*100&gt;=90,4,I29/75*100&gt;=80,3.6,I29/75*100&gt;=70,3.2,I29/75*100&gt;=60,2.8,I29/75*100&gt;=50,2.4,I29/75*100&gt;=40,2,I29/75*100&gt;=35,1.6,TRUE, 0)</f>
        <v>3.6</v>
      </c>
      <c r="K29" s="5" t="str" cm="1">
        <f t="array" ref="K29">_xlfn.IFS(J29=4,"A+",J29=3.6,"A",J29=3.2,"B+",J29=2.8,"B",J29=2.4,"C+",J29=2,"C",J29=1.6,"D",TRUE,"NG")</f>
        <v>A</v>
      </c>
      <c r="L29" s="4">
        <v>25</v>
      </c>
      <c r="M29" s="5" cm="1">
        <f t="array" ref="M29">_xlfn.IFS(L29/25*100&gt;=90,4,L29/25*100&gt;=80,3.6,L29/25*100&gt;=70,3.2,L29/25*100&gt;=60,2.8,L29/25*100&gt;=50,2.4,L29/25*100&gt;=40,2,L29/25*100&gt;=35,1.6,TRUE, 0)</f>
        <v>4</v>
      </c>
      <c r="N29" s="5" t="str" cm="1">
        <f t="array" ref="N29">_xlfn.IFS(M29=4,"A+",M29=3.6,"A",M29=3.2,"B+",M29=2.8,"B",M29=2.4,"C+",M29=2,"C",M29=1.6,"D",TRUE,"NG")</f>
        <v>A+</v>
      </c>
      <c r="O29" s="5">
        <f t="shared" si="1"/>
        <v>3.7</v>
      </c>
      <c r="P29" s="5" t="str" cm="1">
        <f t="array" ref="P29">_xlfn.IFS(AND(O29&lt;=4,O29&gt;3.6),"A+",AND(O29&lt;=3.6,O29&gt;3.2),"A",AND(O29&lt;=3.2,O29&gt;2.8),"B+",AND(O29&lt;=2.8,O29&gt;2.4),"B",AND(O29&lt;=2.4,O29&gt;2),"C+",AND(O29&lt;=2,O29&gt;1.6),"C",O29=1.6,"D",TRUE,"NG")</f>
        <v>A+</v>
      </c>
      <c r="Q29" s="4">
        <v>61</v>
      </c>
      <c r="R29" s="5" cm="1">
        <f t="array" ref="R29">_xlfn.IFS(Q29/75*100&gt;=90,4,Q29/75*100&gt;=80,3.6,Q29/75*100&gt;=70,3.2,Q29/75*100&gt;=60,2.8,Q29/75*100&gt;=50,2.4,Q29/75*100&gt;=40,2,Q29/75*100&gt;=35,1.6,TRUE, 0)</f>
        <v>3.6</v>
      </c>
      <c r="S29" s="5" t="str" cm="1">
        <f t="array" ref="S29">_xlfn.IFS(R29=4,"A+",R29=3.6,"A",R29=3.2,"B+",R29=2.8,"B",R29=2.4,"C+",R29=2,"C",R29=1.6,"D",TRUE,"NG")</f>
        <v>A</v>
      </c>
      <c r="T29" s="5" cm="1">
        <f t="array" ref="T29">_xlfn.IFS(Q29&gt;=70,25,Q29&gt;=60,24,Q29&gt;=50,23,Q29&gt;=40,22,Q29&gt;=30,21,TRUE,20)</f>
        <v>24</v>
      </c>
      <c r="U29" s="5" cm="1">
        <f t="array" ref="U29">_xlfn.IFS(T29/25*100&gt;=90,4,T29/25*100&gt;=80,3.6,T29/25*100&gt;=70,3.2,T29/25*100&gt;=60,2.8,T29/25*100&gt;=50,2.4,T29/25*100&gt;=40,2,T29/25*100&gt;=35,1.6,TRUE, 0)</f>
        <v>4</v>
      </c>
      <c r="V29" s="5" t="str" cm="1">
        <f t="array" ref="V29">_xlfn.IFS(U29=4,"A+",U29=3.6,"A",U29=3.2,"B+",U29=2.8,"B",U29=2.4,"C+",U29=2,"C",U29=1.6,"D",TRUE,"NG")</f>
        <v>A+</v>
      </c>
      <c r="W29" s="5">
        <f t="shared" si="2"/>
        <v>3.6999999999999997</v>
      </c>
      <c r="X29" s="5" t="str" cm="1">
        <f t="array" ref="X29">_xlfn.IFS(AND(W29&lt;=4,W29&gt;3.6),"A+",AND(W29&lt;=3.6,W29&gt;3.2),"A",AND(W29&lt;=3.2,W29&gt;2.8),"B+",AND(W29&lt;=2.8,W29&gt;2.4),"B",AND(W29&lt;=2.4,W29&gt;2),"C+",AND(W29&lt;=2,W29&gt;1.6),"C",W29=1.6,"D",TRUE,"NG")</f>
        <v>A+</v>
      </c>
      <c r="Y29" s="4">
        <v>60</v>
      </c>
      <c r="Z29" s="5" cm="1">
        <f t="array" ref="Z29">_xlfn.IFS(Y29/75*100&gt;=90,4,Y29/75*100&gt;=80,3.6,Y29/75*100&gt;=70,3.2,Y29/75*100&gt;=60,2.8,Y29/75*100&gt;=50,2.4,Y29/75*100&gt;=40,2,Y29/75*100&gt;=35,1.6,TRUE, 0)</f>
        <v>3.6</v>
      </c>
      <c r="AA29" s="5" t="str" cm="1">
        <f t="array" ref="AA29">_xlfn.IFS(Z29=4,"A+",Z29=3.6,"A",Z29=3.2,"B+",Z29=2.8,"B",Z29=2.4,"C+",Z29=2,"C",Z29=1.6,"D",TRUE,"NG")</f>
        <v>A</v>
      </c>
      <c r="AB29" s="4">
        <v>23</v>
      </c>
      <c r="AC29" s="5" cm="1">
        <f t="array" ref="AC29">_xlfn.IFS(AB29/25*100&gt;=90,4,AB29/25*100&gt;=80,3.6,AB29/25*100&gt;=70,3.2,AB29/25*100&gt;=60,2.8,AB29/25*100&gt;=50,2.4,AB29/25*100&gt;=40,2,AB29/25*100&gt;=35,1.6,TRUE, 0)</f>
        <v>4</v>
      </c>
      <c r="AD29" s="5" t="str" cm="1">
        <f t="array" ref="AD29">_xlfn.IFS(AC29=4,"A+",AC29=3.6,"A",AC29=3.2,"B+",AC29=2.8,"B",AC29=2.4,"C+",AC29=2,"C",AC29=1.6,"D",TRUE,"NG")</f>
        <v>A+</v>
      </c>
      <c r="AE29" s="5">
        <f t="shared" si="3"/>
        <v>3.7</v>
      </c>
      <c r="AF29" s="5" t="str" cm="1">
        <f t="array" ref="AF29">_xlfn.IFS(AND(AE29&lt;=4,AE29&gt;3.6),"A+",AND(AE29&lt;=3.6,AE29&gt;3.2),"A",AND(AE29&lt;=3.2,AE29&gt;2.8),"B+",AND(AE29&lt;=2.8,AE29&gt;2.4),"B",AND(AE29&lt;=2.4,AE29&gt;2),"C+",AND(AE29&lt;=2,AE29&gt;1.6),"C",AE29=1.6,"D",TRUE,"NG")</f>
        <v>A+</v>
      </c>
      <c r="AG29" s="4">
        <v>63</v>
      </c>
      <c r="AH29" s="5" cm="1">
        <f t="array" ref="AH29">_xlfn.IFS(AG29/75*100&gt;=90,4,AG29/75*100&gt;=80,3.6,AG29/75*100&gt;=70,3.2,AG29/75*100&gt;=60,2.8,AG29/75*100&gt;=50,2.4,AG29/75*100&gt;=40,2,AG29/75*100&gt;=35,1.6,TRUE, 0)</f>
        <v>3.6</v>
      </c>
      <c r="AI29" s="5" t="str" cm="1">
        <f t="array" ref="AI29">_xlfn.IFS(AH29=4,"A+",AH29=3.6,"A",AH29=3.2,"B+",AH29=2.8,"B",AH29=2.4,"C+",AH29=2,"C",AH29=1.6,"D",TRUE,"NG")</f>
        <v>A</v>
      </c>
      <c r="AJ29" s="4">
        <v>24</v>
      </c>
      <c r="AK29" s="5" cm="1">
        <f t="array" ref="AK29">_xlfn.IFS(AJ29/25*100&gt;=90,4,AJ29/25*100&gt;=80,3.6,AJ29/25*100&gt;=70,3.2,AJ29/25*100&gt;=60,2.8,AJ29/25*100&gt;=50,2.4,AJ29/25*100&gt;=40,2,AJ29/25*100&gt;=35,1.6,TRUE, 0)</f>
        <v>4</v>
      </c>
      <c r="AL29" s="5" t="str" cm="1">
        <f t="array" ref="AL29">_xlfn.IFS(AK29=4,"A+",AK29=3.6,"A",AK29=3.2,"B+",AK29=2.8,"B",AK29=2.4,"C+",AK29=2,"C",AK29=1.6,"D",TRUE,"NG")</f>
        <v>A+</v>
      </c>
      <c r="AM29" s="5">
        <f t="shared" si="4"/>
        <v>3.7</v>
      </c>
      <c r="AN29" s="5" t="str" cm="1">
        <f t="array" ref="AN29">_xlfn.IFS(AND(AM29&lt;=4,AM29&gt;3.6),"A+",AND(AM29&lt;=3.6,AM29&gt;3.2),"A",AND(AM29&lt;=3.2,AM29&gt;2.8),"B+",AND(AM29&lt;=2.8,AM29&gt;2.4),"B",AND(AM29&lt;=2.4,AM29&gt;2),"C+",AND(AM29&lt;=2,AM29&gt;1.6),"C",AM29=1.6,"D",TRUE,"NG")</f>
        <v>A+</v>
      </c>
      <c r="AO29" s="4">
        <v>60</v>
      </c>
      <c r="AP29" s="5" cm="1">
        <f t="array" ref="AP29">_xlfn.IFS(AO29/75*100&gt;=90,4,AO29/75*100&gt;=80,3.6,AO29/75*100&gt;=70,3.2,AO29/75*100&gt;=60,2.8,AO29/75*100&gt;=50,2.4,AO29/75*100&gt;=40,2,AO29/75*100&gt;=35,1.6,TRUE, 0)</f>
        <v>3.6</v>
      </c>
      <c r="AQ29" s="5" t="str" cm="1">
        <f t="array" ref="AQ29">_xlfn.IFS(AP29=4,"A+",AP29=3.6,"A",AP29=3.2,"B+",AP29=2.8,"B",AP29=2.4,"C+",AP29=2,"C",AP29=1.6,"D",TRUE,"NG")</f>
        <v>A</v>
      </c>
      <c r="AR29" s="5" cm="1">
        <f t="array" ref="AR29">_xlfn.IFS(AO29&gt;=70,25,AO29&gt;=60,24,AO29&gt;=50,23,AO29&gt;=40,22,AO29&gt;=30,21,TRUE,20)</f>
        <v>24</v>
      </c>
      <c r="AS29" s="5" cm="1">
        <f t="array" ref="AS29">_xlfn.IFS(AR29/25*100&gt;=90,4,AR29/25*100&gt;=80,3.6,AR29/25*100&gt;=70,3.2,AR29/25*100&gt;=60,2.8,AR29/25*100&gt;=50,2.4,AR29/25*100&gt;=40,2,AR29/25*100&gt;=35,1.6,TRUE, 0)</f>
        <v>4</v>
      </c>
      <c r="AT29" s="5" t="str" cm="1">
        <f t="array" ref="AT29">_xlfn.IFS(AS29=4,"A+",AS29=3.6,"A",AS29=3.2,"B+",AS29=2.8,"B",AS29=2.4,"C+",AS29=2,"C",AS29=1.6,"D",TRUE,"NG")</f>
        <v>A+</v>
      </c>
      <c r="AU29" s="5">
        <f t="shared" si="5"/>
        <v>3.7</v>
      </c>
      <c r="AV29" s="5" t="str" cm="1">
        <f t="array" ref="AV29">_xlfn.IFS(AND(AU29&lt;=4,AU29&gt;3.6),"A+",AND(AU29&lt;=3.6,AU29&gt;3.2),"A",AND(AU29&lt;=3.2,AU29&gt;2.8),"B+",AND(AU29&lt;=2.8,AU29&gt;2.4),"B",AND(AU29&lt;=2.4,AU29&gt;2),"C+",AND(AU29&lt;=2,AU29&gt;1.6),"C",AU29=1.6,"D",TRUE,"NG")</f>
        <v>A+</v>
      </c>
      <c r="AW29" s="4">
        <v>47</v>
      </c>
      <c r="AX29" s="5" cm="1">
        <f t="array" ref="AX29">_xlfn.IFS(AW29="-","-",AW29/75*100&gt;=90,4,AW29/75*100&gt;=80,3.6,AW29/75*100&gt;=70,3.2,AW29/75*100&gt;=60,2.8,AW29/75*100&gt;=50,2.4,AW29/75*100&gt;=40,2,AW29/75*100&gt;=35,1.6,TRUE, 0)</f>
        <v>2.8</v>
      </c>
      <c r="AY29" s="5" t="str" cm="1">
        <f t="array" ref="AY29">_xlfn.IFS(AX29="-","-",AX29=4,"A+",AX29=3.6,"A",AX29=3.2,"B+",AX29=2.8,"B",AX29=2.4,"C+",AX29=2,"C",AX29=1.6,"D",TRUE,"NG")</f>
        <v>B</v>
      </c>
      <c r="AZ29" s="4">
        <v>23</v>
      </c>
      <c r="BA29" s="5" cm="1">
        <f t="array" ref="BA29">_xlfn.IFS(AZ29="-","-",AZ29/25*100&gt;=90,4,AZ29/25*100&gt;=80,3.6,AZ29/25*100&gt;=70,3.2,AZ29/25*100&gt;=60,2.8,AZ29/25*100&gt;=50,2.4,AZ29/25*100&gt;=40,2,AZ29/25*100&gt;=35,1.6,TRUE, 0)</f>
        <v>4</v>
      </c>
      <c r="BB29" s="5" t="str" cm="1">
        <f t="array" ref="BB29">_xlfn.IFS(BA29="-","-",BA29=4,"A+",BA29=3.6,"A",BA29=3.2,"B+",BA29=2.8,"B",BA29=2.4,"C+",BA29=2,"C",BA29=1.6,"D",TRUE,"NG")</f>
        <v>A+</v>
      </c>
      <c r="BC29" s="5">
        <f t="shared" si="6"/>
        <v>3.1</v>
      </c>
      <c r="BD29" s="5" t="str" cm="1">
        <f t="array" ref="BD29">_xlfn.IFS(BC29="-","-",AND(BC29&lt;=4,BC29&gt;3.6),"A+",AND(BC29&lt;=3.6,BC29&gt;3.2),"A",AND(BC29&lt;=3.2,BC29&gt;2.8),"B+",AND(BC29&lt;=2.8,BC29&gt;2.4),"B",AND(BC29&lt;=2.4,BC29&gt;2),"C+",AND(BC29&lt;=2,BC29&gt;1.6),"C",BC29=1.6,"D",TRUE,"NG")</f>
        <v>B+</v>
      </c>
      <c r="BE29" s="4" t="s">
        <v>63</v>
      </c>
      <c r="BF29" t="str" cm="1">
        <f t="array" ref="BF29">_xlfn.IFS(BE29="-","-",BE29/50*100&gt;=90,4,BE29/50*100&gt;=80,3.6,BE29/50*100&gt;=70,3.2,BE29/50*100&gt;=60,2.8,BE29/50*100&gt;=50,2.4,BE29/50*100&gt;=40,2,BE29/50*100&gt;=35,1.6,TRUE, 0)</f>
        <v>-</v>
      </c>
      <c r="BG29" t="str" cm="1">
        <f t="array" ref="BG29">_xlfn.IFS(BF29="-","-",BF29=4,"A+",BF29=3.6,"A",BF29=3.2,"B+",BF29=2.8,"B",BF29=2.4,"C+",BF29=2,"C",BF29=1.6,"D",TRUE,"NG")</f>
        <v>-</v>
      </c>
      <c r="BH29" s="4" t="s">
        <v>63</v>
      </c>
      <c r="BI29" t="str" cm="1">
        <f t="array" ref="BI29">_xlfn.IFS(BH29="-","-",BH29/50*100&gt;=90,4,BH29/50*100&gt;=80,3.6,BH29/50*100&gt;=70,3.2,BH29/50*100&gt;=60,2.8,BH29/50*100&gt;=50,2.4,BH29/50*100&gt;=40,2,BH29/50*100&gt;=35,1.6,TRUE, 0)</f>
        <v>-</v>
      </c>
      <c r="BJ29" t="str" cm="1">
        <f t="array" ref="BJ29">_xlfn.IFS(BI29="-","-",BI29=4,"A+",BI29=3.6,"A",BI29=3.2,"B+",BI29=2.8,"B",BI29=2.4,"C+",BI29=2,"C",BI29=1.6,"D",TRUE,"NG")</f>
        <v>-</v>
      </c>
      <c r="BK29" t="str">
        <f t="shared" si="7"/>
        <v>-</v>
      </c>
      <c r="BL29" t="str" cm="1">
        <f t="array" ref="BL29">_xlfn.IFS(BK29="-","-",AND(BK29&lt;=4,BK29&gt;3.6),"A+",AND(BK29&lt;=3.6,BK29&gt;3.2),"A",AND(BK29&lt;=3.2,BK29&gt;2.8),"B+",AND(BK29&lt;=2.8,BK29&gt;2.4),"B",AND(BK29&lt;=2.4,BK29&gt;2),"C+",AND(BK29&lt;=2,BK29&gt;1.6),"C",BK29=1.6,"D",TRUE,"NG")</f>
        <v>-</v>
      </c>
      <c r="BM29" s="9" cm="1">
        <f t="array" ref="BM29">_xlfn.IFS(AW29&lt;&gt;"-",((J29*3+M29*1)+(R29*2.25+U29*0.75)+(Z29*3.75+AC29*1.25)+(AH29*3.75+AK29*1.25)+(AP29*3.75+AS29*1.25)+(AX29*3.75+BA29*1.25))/(4+3+5*4),BE29&lt;&gt;"-",((J29*3+M29*1)+(R29*2.25+U29*0.75)+(Z29*3.75+AC29*1.25)+(AH29*3.75+AK29*1.25)+(AP29*3.75+AS29*1.25)+(BF29*2.5+BI29*2.5))/(4+3+5*4))</f>
        <v>3.588888888888889</v>
      </c>
    </row>
    <row r="30" spans="1:65" x14ac:dyDescent="0.3">
      <c r="A30" s="2">
        <v>129</v>
      </c>
      <c r="B30" s="12">
        <v>793270280069</v>
      </c>
      <c r="C30" s="13">
        <v>12706920</v>
      </c>
      <c r="D30" s="14" t="s">
        <v>95</v>
      </c>
      <c r="E30" s="3" t="s">
        <v>62</v>
      </c>
      <c r="F30" s="15">
        <v>59332</v>
      </c>
      <c r="G30" s="3" t="str">
        <f t="shared" si="0"/>
        <v>2062/06/10</v>
      </c>
      <c r="H30" s="3" t="str" cm="1">
        <f t="array" ref="H30">[1]!bs2ad(G30)</f>
        <v>2005-9-26</v>
      </c>
      <c r="I30" s="4">
        <v>58</v>
      </c>
      <c r="J30" s="5" cm="1">
        <f t="array" ref="J30">_xlfn.IFS(I30/75*100&gt;=90,4,I30/75*100&gt;=80,3.6,I30/75*100&gt;=70,3.2,I30/75*100&gt;=60,2.8,I30/75*100&gt;=50,2.4,I30/75*100&gt;=40,2,I30/75*100&gt;=35,1.6,TRUE, 0)</f>
        <v>3.2</v>
      </c>
      <c r="K30" s="5" t="str" cm="1">
        <f t="array" ref="K30">_xlfn.IFS(J30=4,"A+",J30=3.6,"A",J30=3.2,"B+",J30=2.8,"B",J30=2.4,"C+",J30=2,"C",J30=1.6,"D",TRUE,"NG")</f>
        <v>B+</v>
      </c>
      <c r="L30" s="4">
        <v>25</v>
      </c>
      <c r="M30" s="5" cm="1">
        <f t="array" ref="M30">_xlfn.IFS(L30/25*100&gt;=90,4,L30/25*100&gt;=80,3.6,L30/25*100&gt;=70,3.2,L30/25*100&gt;=60,2.8,L30/25*100&gt;=50,2.4,L30/25*100&gt;=40,2,L30/25*100&gt;=35,1.6,TRUE, 0)</f>
        <v>4</v>
      </c>
      <c r="N30" s="5" t="str" cm="1">
        <f t="array" ref="N30">_xlfn.IFS(M30=4,"A+",M30=3.6,"A",M30=3.2,"B+",M30=2.8,"B",M30=2.4,"C+",M30=2,"C",M30=1.6,"D",TRUE,"NG")</f>
        <v>A+</v>
      </c>
      <c r="O30" s="5">
        <f t="shared" si="1"/>
        <v>3.4000000000000004</v>
      </c>
      <c r="P30" s="5" t="str" cm="1">
        <f t="array" ref="P30">_xlfn.IFS(AND(O30&lt;=4,O30&gt;3.6),"A+",AND(O30&lt;=3.6,O30&gt;3.2),"A",AND(O30&lt;=3.2,O30&gt;2.8),"B+",AND(O30&lt;=2.8,O30&gt;2.4),"B",AND(O30&lt;=2.4,O30&gt;2),"C+",AND(O30&lt;=2,O30&gt;1.6),"C",O30=1.6,"D",TRUE,"NG")</f>
        <v>A</v>
      </c>
      <c r="Q30" s="4">
        <v>53</v>
      </c>
      <c r="R30" s="5" cm="1">
        <f t="array" ref="R30">_xlfn.IFS(Q30/75*100&gt;=90,4,Q30/75*100&gt;=80,3.6,Q30/75*100&gt;=70,3.2,Q30/75*100&gt;=60,2.8,Q30/75*100&gt;=50,2.4,Q30/75*100&gt;=40,2,Q30/75*100&gt;=35,1.6,TRUE, 0)</f>
        <v>3.2</v>
      </c>
      <c r="S30" s="5" t="str" cm="1">
        <f t="array" ref="S30">_xlfn.IFS(R30=4,"A+",R30=3.6,"A",R30=3.2,"B+",R30=2.8,"B",R30=2.4,"C+",R30=2,"C",R30=1.6,"D",TRUE,"NG")</f>
        <v>B+</v>
      </c>
      <c r="T30" s="5" cm="1">
        <f t="array" ref="T30">_xlfn.IFS(Q30&gt;=70,25,Q30&gt;=60,24,Q30&gt;=50,23,Q30&gt;=40,22,Q30&gt;=30,21,TRUE,20)</f>
        <v>23</v>
      </c>
      <c r="U30" s="5" cm="1">
        <f t="array" ref="U30">_xlfn.IFS(T30/25*100&gt;=90,4,T30/25*100&gt;=80,3.6,T30/25*100&gt;=70,3.2,T30/25*100&gt;=60,2.8,T30/25*100&gt;=50,2.4,T30/25*100&gt;=40,2,T30/25*100&gt;=35,1.6,TRUE, 0)</f>
        <v>4</v>
      </c>
      <c r="V30" s="5" t="str" cm="1">
        <f t="array" ref="V30">_xlfn.IFS(U30=4,"A+",U30=3.6,"A",U30=3.2,"B+",U30=2.8,"B",U30=2.4,"C+",U30=2,"C",U30=1.6,"D",TRUE,"NG")</f>
        <v>A+</v>
      </c>
      <c r="W30" s="5">
        <f t="shared" si="2"/>
        <v>3.4</v>
      </c>
      <c r="X30" s="5" t="str" cm="1">
        <f t="array" ref="X30">_xlfn.IFS(AND(W30&lt;=4,W30&gt;3.6),"A+",AND(W30&lt;=3.6,W30&gt;3.2),"A",AND(W30&lt;=3.2,W30&gt;2.8),"B+",AND(W30&lt;=2.8,W30&gt;2.4),"B",AND(W30&lt;=2.4,W30&gt;2),"C+",AND(W30&lt;=2,W30&gt;1.6),"C",W30=1.6,"D",TRUE,"NG")</f>
        <v>A</v>
      </c>
      <c r="Y30" s="4">
        <v>68</v>
      </c>
      <c r="Z30" s="5" cm="1">
        <f t="array" ref="Z30">_xlfn.IFS(Y30/75*100&gt;=90,4,Y30/75*100&gt;=80,3.6,Y30/75*100&gt;=70,3.2,Y30/75*100&gt;=60,2.8,Y30/75*100&gt;=50,2.4,Y30/75*100&gt;=40,2,Y30/75*100&gt;=35,1.6,TRUE, 0)</f>
        <v>4</v>
      </c>
      <c r="AA30" s="5" t="str" cm="1">
        <f t="array" ref="AA30">_xlfn.IFS(Z30=4,"A+",Z30=3.6,"A",Z30=3.2,"B+",Z30=2.8,"B",Z30=2.4,"C+",Z30=2,"C",Z30=1.6,"D",TRUE,"NG")</f>
        <v>A+</v>
      </c>
      <c r="AB30" s="4">
        <v>24</v>
      </c>
      <c r="AC30" s="5" cm="1">
        <f t="array" ref="AC30">_xlfn.IFS(AB30/25*100&gt;=90,4,AB30/25*100&gt;=80,3.6,AB30/25*100&gt;=70,3.2,AB30/25*100&gt;=60,2.8,AB30/25*100&gt;=50,2.4,AB30/25*100&gt;=40,2,AB30/25*100&gt;=35,1.6,TRUE, 0)</f>
        <v>4</v>
      </c>
      <c r="AD30" s="5" t="str" cm="1">
        <f t="array" ref="AD30">_xlfn.IFS(AC30=4,"A+",AC30=3.6,"A",AC30=3.2,"B+",AC30=2.8,"B",AC30=2.4,"C+",AC30=2,"C",AC30=1.6,"D",TRUE,"NG")</f>
        <v>A+</v>
      </c>
      <c r="AE30" s="5">
        <f t="shared" si="3"/>
        <v>4</v>
      </c>
      <c r="AF30" s="5" t="str" cm="1">
        <f t="array" ref="AF30">_xlfn.IFS(AND(AE30&lt;=4,AE30&gt;3.6),"A+",AND(AE30&lt;=3.6,AE30&gt;3.2),"A",AND(AE30&lt;=3.2,AE30&gt;2.8),"B+",AND(AE30&lt;=2.8,AE30&gt;2.4),"B",AND(AE30&lt;=2.4,AE30&gt;2),"C+",AND(AE30&lt;=2,AE30&gt;1.6),"C",AE30=1.6,"D",TRUE,"NG")</f>
        <v>A+</v>
      </c>
      <c r="AG30" s="4">
        <v>57</v>
      </c>
      <c r="AH30" s="5" cm="1">
        <f t="array" ref="AH30">_xlfn.IFS(AG30/75*100&gt;=90,4,AG30/75*100&gt;=80,3.6,AG30/75*100&gt;=70,3.2,AG30/75*100&gt;=60,2.8,AG30/75*100&gt;=50,2.4,AG30/75*100&gt;=40,2,AG30/75*100&gt;=35,1.6,TRUE, 0)</f>
        <v>3.2</v>
      </c>
      <c r="AI30" s="5" t="str" cm="1">
        <f t="array" ref="AI30">_xlfn.IFS(AH30=4,"A+",AH30=3.6,"A",AH30=3.2,"B+",AH30=2.8,"B",AH30=2.4,"C+",AH30=2,"C",AH30=1.6,"D",TRUE,"NG")</f>
        <v>B+</v>
      </c>
      <c r="AJ30" s="4">
        <v>24</v>
      </c>
      <c r="AK30" s="5" cm="1">
        <f t="array" ref="AK30">_xlfn.IFS(AJ30/25*100&gt;=90,4,AJ30/25*100&gt;=80,3.6,AJ30/25*100&gt;=70,3.2,AJ30/25*100&gt;=60,2.8,AJ30/25*100&gt;=50,2.4,AJ30/25*100&gt;=40,2,AJ30/25*100&gt;=35,1.6,TRUE, 0)</f>
        <v>4</v>
      </c>
      <c r="AL30" s="5" t="str" cm="1">
        <f t="array" ref="AL30">_xlfn.IFS(AK30=4,"A+",AK30=3.6,"A",AK30=3.2,"B+",AK30=2.8,"B",AK30=2.4,"C+",AK30=2,"C",AK30=1.6,"D",TRUE,"NG")</f>
        <v>A+</v>
      </c>
      <c r="AM30" s="5">
        <f t="shared" si="4"/>
        <v>3.4</v>
      </c>
      <c r="AN30" s="5" t="str" cm="1">
        <f t="array" ref="AN30">_xlfn.IFS(AND(AM30&lt;=4,AM30&gt;3.6),"A+",AND(AM30&lt;=3.6,AM30&gt;3.2),"A",AND(AM30&lt;=3.2,AM30&gt;2.8),"B+",AND(AM30&lt;=2.8,AM30&gt;2.4),"B",AND(AM30&lt;=2.4,AM30&gt;2),"C+",AND(AM30&lt;=2,AM30&gt;1.6),"C",AM30=1.6,"D",TRUE,"NG")</f>
        <v>A</v>
      </c>
      <c r="AO30" s="4">
        <v>70</v>
      </c>
      <c r="AP30" s="5" cm="1">
        <f t="array" ref="AP30">_xlfn.IFS(AO30/75*100&gt;=90,4,AO30/75*100&gt;=80,3.6,AO30/75*100&gt;=70,3.2,AO30/75*100&gt;=60,2.8,AO30/75*100&gt;=50,2.4,AO30/75*100&gt;=40,2,AO30/75*100&gt;=35,1.6,TRUE, 0)</f>
        <v>4</v>
      </c>
      <c r="AQ30" s="5" t="str" cm="1">
        <f t="array" ref="AQ30">_xlfn.IFS(AP30=4,"A+",AP30=3.6,"A",AP30=3.2,"B+",AP30=2.8,"B",AP30=2.4,"C+",AP30=2,"C",AP30=1.6,"D",TRUE,"NG")</f>
        <v>A+</v>
      </c>
      <c r="AR30" s="5" cm="1">
        <f t="array" ref="AR30">_xlfn.IFS(AO30&gt;=70,25,AO30&gt;=60,24,AO30&gt;=50,23,AO30&gt;=40,22,AO30&gt;=30,21,TRUE,20)</f>
        <v>25</v>
      </c>
      <c r="AS30" s="5" cm="1">
        <f t="array" ref="AS30">_xlfn.IFS(AR30/25*100&gt;=90,4,AR30/25*100&gt;=80,3.6,AR30/25*100&gt;=70,3.2,AR30/25*100&gt;=60,2.8,AR30/25*100&gt;=50,2.4,AR30/25*100&gt;=40,2,AR30/25*100&gt;=35,1.6,TRUE, 0)</f>
        <v>4</v>
      </c>
      <c r="AT30" s="5" t="str" cm="1">
        <f t="array" ref="AT30">_xlfn.IFS(AS30=4,"A+",AS30=3.6,"A",AS30=3.2,"B+",AS30=2.8,"B",AS30=2.4,"C+",AS30=2,"C",AS30=1.6,"D",TRUE,"NG")</f>
        <v>A+</v>
      </c>
      <c r="AU30" s="5">
        <f t="shared" si="5"/>
        <v>4</v>
      </c>
      <c r="AV30" s="5" t="str" cm="1">
        <f t="array" ref="AV30">_xlfn.IFS(AND(AU30&lt;=4,AU30&gt;3.6),"A+",AND(AU30&lt;=3.6,AU30&gt;3.2),"A",AND(AU30&lt;=3.2,AU30&gt;2.8),"B+",AND(AU30&lt;=2.8,AU30&gt;2.4),"B",AND(AU30&lt;=2.4,AU30&gt;2),"C+",AND(AU30&lt;=2,AU30&gt;1.6),"C",AU30=1.6,"D",TRUE,"NG")</f>
        <v>A+</v>
      </c>
      <c r="AW30" s="4" t="s">
        <v>63</v>
      </c>
      <c r="AX30" s="5" t="str" cm="1">
        <f t="array" ref="AX30">_xlfn.IFS(AW30="-","-",AW30/75*100&gt;=90,4,AW30/75*100&gt;=80,3.6,AW30/75*100&gt;=70,3.2,AW30/75*100&gt;=60,2.8,AW30/75*100&gt;=50,2.4,AW30/75*100&gt;=40,2,AW30/75*100&gt;=35,1.6,TRUE, 0)</f>
        <v>-</v>
      </c>
      <c r="AY30" s="5" t="str" cm="1">
        <f t="array" ref="AY30">_xlfn.IFS(AX30="-","-",AX30=4,"A+",AX30=3.6,"A",AX30=3.2,"B+",AX30=2.8,"B",AX30=2.4,"C+",AX30=2,"C",AX30=1.6,"D",TRUE,"NG")</f>
        <v>-</v>
      </c>
      <c r="AZ30" s="4" t="s">
        <v>63</v>
      </c>
      <c r="BA30" s="5" t="str" cm="1">
        <f t="array" ref="BA30">_xlfn.IFS(AZ30="-","-",AZ30/25*100&gt;=90,4,AZ30/25*100&gt;=80,3.6,AZ30/25*100&gt;=70,3.2,AZ30/25*100&gt;=60,2.8,AZ30/25*100&gt;=50,2.4,AZ30/25*100&gt;=40,2,AZ30/25*100&gt;=35,1.6,TRUE, 0)</f>
        <v>-</v>
      </c>
      <c r="BB30" s="5" t="str" cm="1">
        <f t="array" ref="BB30">_xlfn.IFS(BA30="-","-",BA30=4,"A+",BA30=3.6,"A",BA30=3.2,"B+",BA30=2.8,"B",BA30=2.4,"C+",BA30=2,"C",BA30=1.6,"D",TRUE,"NG")</f>
        <v>-</v>
      </c>
      <c r="BC30" s="5" t="str">
        <f t="shared" si="6"/>
        <v>-</v>
      </c>
      <c r="BD30" s="5" t="str" cm="1">
        <f t="array" ref="BD30">_xlfn.IFS(BC30="-","-",AND(BC30&lt;=4,BC30&gt;3.6),"A+",AND(BC30&lt;=3.6,BC30&gt;3.2),"A",AND(BC30&lt;=3.2,BC30&gt;2.8),"B+",AND(BC30&lt;=2.8,BC30&gt;2.4),"B",AND(BC30&lt;=2.4,BC30&gt;2),"C+",AND(BC30&lt;=2,BC30&gt;1.6),"C",BC30=1.6,"D",TRUE,"NG")</f>
        <v>-</v>
      </c>
      <c r="BE30" s="4">
        <v>46</v>
      </c>
      <c r="BF30" cm="1">
        <f t="array" ref="BF30">_xlfn.IFS(BE30="-","-",BE30/50*100&gt;=90,4,BE30/50*100&gt;=80,3.6,BE30/50*100&gt;=70,3.2,BE30/50*100&gt;=60,2.8,BE30/50*100&gt;=50,2.4,BE30/50*100&gt;=40,2,BE30/50*100&gt;=35,1.6,TRUE, 0)</f>
        <v>4</v>
      </c>
      <c r="BG30" t="str" cm="1">
        <f t="array" ref="BG30">_xlfn.IFS(BF30="-","-",BF30=4,"A+",BF30=3.6,"A",BF30=3.2,"B+",BF30=2.8,"B",BF30=2.4,"C+",BF30=2,"C",BF30=1.6,"D",TRUE,"NG")</f>
        <v>A+</v>
      </c>
      <c r="BH30" s="4">
        <v>44</v>
      </c>
      <c r="BI30" cm="1">
        <f t="array" ref="BI30">_xlfn.IFS(BH30="-","-",BH30/50*100&gt;=90,4,BH30/50*100&gt;=80,3.6,BH30/50*100&gt;=70,3.2,BH30/50*100&gt;=60,2.8,BH30/50*100&gt;=50,2.4,BH30/50*100&gt;=40,2,BH30/50*100&gt;=35,1.6,TRUE, 0)</f>
        <v>3.6</v>
      </c>
      <c r="BJ30" t="str" cm="1">
        <f t="array" ref="BJ30">_xlfn.IFS(BI30="-","-",BI30=4,"A+",BI30=3.6,"A",BI30=3.2,"B+",BI30=2.8,"B",BI30=2.4,"C+",BI30=2,"C",BI30=1.6,"D",TRUE,"NG")</f>
        <v>A</v>
      </c>
      <c r="BK30">
        <f t="shared" si="7"/>
        <v>3.8</v>
      </c>
      <c r="BL30" t="str" cm="1">
        <f t="array" ref="BL30">_xlfn.IFS(BK30="-","-",AND(BK30&lt;=4,BK30&gt;3.6),"A+",AND(BK30&lt;=3.6,BK30&gt;3.2),"A",AND(BK30&lt;=3.2,BK30&gt;2.8),"B+",AND(BK30&lt;=2.8,BK30&gt;2.4),"B",AND(BK30&lt;=2.4,BK30&gt;2),"C+",AND(BK30&lt;=2,BK30&gt;1.6),"C",BK30=1.6,"D",TRUE,"NG")</f>
        <v>A+</v>
      </c>
      <c r="BM30" s="9" cm="1">
        <f t="array" ref="BM30">_xlfn.IFS(AW30&lt;&gt;"-",((J30*3+M30*1)+(R30*2.25+U30*0.75)+(Z30*3.75+AC30*1.25)+(AH30*3.75+AK30*1.25)+(AP30*3.75+AS30*1.25)+(AX30*3.75+BA30*1.25))/(4+3+5*4),BE30&lt;&gt;"-",((J30*3+M30*1)+(R30*2.25+U30*0.75)+(Z30*3.75+AC30*1.25)+(AH30*3.75+AK30*1.25)+(AP30*3.75+AS30*1.25)+(BF30*2.5+BI30*2.5))/(4+3+5*4))</f>
        <v>3.6962962962962962</v>
      </c>
    </row>
    <row r="31" spans="1:65" x14ac:dyDescent="0.3">
      <c r="A31" s="2">
        <v>130</v>
      </c>
      <c r="B31" s="12">
        <v>793270280063</v>
      </c>
      <c r="C31" s="13">
        <v>12706914</v>
      </c>
      <c r="D31" s="14" t="s">
        <v>96</v>
      </c>
      <c r="E31" t="s">
        <v>64</v>
      </c>
      <c r="F31" s="15">
        <v>59295</v>
      </c>
      <c r="G31" s="3" t="str">
        <f t="shared" si="0"/>
        <v>2062/05/04</v>
      </c>
      <c r="H31" s="3" t="str" cm="1">
        <f t="array" ref="H31">[1]!bs2ad(G31)</f>
        <v>2005-8-20</v>
      </c>
      <c r="I31" s="4">
        <v>45</v>
      </c>
      <c r="J31" s="5" cm="1">
        <f t="array" ref="J31">_xlfn.IFS(I31/75*100&gt;=90,4,I31/75*100&gt;=80,3.6,I31/75*100&gt;=70,3.2,I31/75*100&gt;=60,2.8,I31/75*100&gt;=50,2.4,I31/75*100&gt;=40,2,I31/75*100&gt;=35,1.6,TRUE, 0)</f>
        <v>2.8</v>
      </c>
      <c r="K31" s="5" t="str" cm="1">
        <f t="array" ref="K31">_xlfn.IFS(J31=4,"A+",J31=3.6,"A",J31=3.2,"B+",J31=2.8,"B",J31=2.4,"C+",J31=2,"C",J31=1.6,"D",TRUE,"NG")</f>
        <v>B</v>
      </c>
      <c r="L31" s="4">
        <v>22</v>
      </c>
      <c r="M31" s="5" cm="1">
        <f t="array" ref="M31">_xlfn.IFS(L31/25*100&gt;=90,4,L31/25*100&gt;=80,3.6,L31/25*100&gt;=70,3.2,L31/25*100&gt;=60,2.8,L31/25*100&gt;=50,2.4,L31/25*100&gt;=40,2,L31/25*100&gt;=35,1.6,TRUE, 0)</f>
        <v>3.6</v>
      </c>
      <c r="N31" s="5" t="str" cm="1">
        <f t="array" ref="N31">_xlfn.IFS(M31=4,"A+",M31=3.6,"A",M31=3.2,"B+",M31=2.8,"B",M31=2.4,"C+",M31=2,"C",M31=1.6,"D",TRUE,"NG")</f>
        <v>A</v>
      </c>
      <c r="O31" s="5">
        <f t="shared" si="1"/>
        <v>2.9999999999999996</v>
      </c>
      <c r="P31" s="5" t="str" cm="1">
        <f t="array" ref="P31">_xlfn.IFS(AND(O31&lt;=4,O31&gt;3.6),"A+",AND(O31&lt;=3.6,O31&gt;3.2),"A",AND(O31&lt;=3.2,O31&gt;2.8),"B+",AND(O31&lt;=2.8,O31&gt;2.4),"B",AND(O31&lt;=2.4,O31&gt;2),"C+",AND(O31&lt;=2,O31&gt;1.6),"C",O31=1.6,"D",TRUE,"NG")</f>
        <v>B+</v>
      </c>
      <c r="Q31" s="4">
        <v>27</v>
      </c>
      <c r="R31" s="5" cm="1">
        <f t="array" ref="R31">_xlfn.IFS(Q31/75*100&gt;=90,4,Q31/75*100&gt;=80,3.6,Q31/75*100&gt;=70,3.2,Q31/75*100&gt;=60,2.8,Q31/75*100&gt;=50,2.4,Q31/75*100&gt;=40,2,Q31/75*100&gt;=35,1.6,TRUE, 0)</f>
        <v>1.6</v>
      </c>
      <c r="S31" s="5" t="str" cm="1">
        <f t="array" ref="S31">_xlfn.IFS(R31=4,"A+",R31=3.6,"A",R31=3.2,"B+",R31=2.8,"B",R31=2.4,"C+",R31=2,"C",R31=1.6,"D",TRUE,"NG")</f>
        <v>D</v>
      </c>
      <c r="T31" s="5" cm="1">
        <f t="array" ref="T31">_xlfn.IFS(Q31&gt;=70,25,Q31&gt;=60,24,Q31&gt;=50,23,Q31&gt;=40,22,Q31&gt;=30,21,TRUE,20)</f>
        <v>20</v>
      </c>
      <c r="U31" s="5" cm="1">
        <f t="array" ref="U31">_xlfn.IFS(T31/25*100&gt;=90,4,T31/25*100&gt;=80,3.6,T31/25*100&gt;=70,3.2,T31/25*100&gt;=60,2.8,T31/25*100&gt;=50,2.4,T31/25*100&gt;=40,2,T31/25*100&gt;=35,1.6,TRUE, 0)</f>
        <v>3.6</v>
      </c>
      <c r="V31" s="5" t="str" cm="1">
        <f t="array" ref="V31">_xlfn.IFS(U31=4,"A+",U31=3.6,"A",U31=3.2,"B+",U31=2.8,"B",U31=2.4,"C+",U31=2,"C",U31=1.6,"D",TRUE,"NG")</f>
        <v>A</v>
      </c>
      <c r="W31" s="5">
        <f t="shared" ref="W31:W39" si="8">(R31*2.25+U31*0.75)/3</f>
        <v>2.1</v>
      </c>
      <c r="X31" s="5" t="str" cm="1">
        <f t="array" ref="X31">_xlfn.IFS(AND(W31&lt;=4,W31&gt;3.6),"A+",AND(W31&lt;=3.6,W31&gt;3.2),"A",AND(W31&lt;=3.2,W31&gt;2.8),"B+",AND(W31&lt;=2.8,W31&gt;2.4),"B",AND(W31&lt;=2.4,W31&gt;2),"C+",AND(W31&lt;=2,W31&gt;1.6),"C",W31=1.6,"D",TRUE,"NG")</f>
        <v>C+</v>
      </c>
      <c r="Y31" s="4">
        <v>58</v>
      </c>
      <c r="Z31" s="5" cm="1">
        <f t="array" ref="Z31">_xlfn.IFS(Y31/75*100&gt;=90,4,Y31/75*100&gt;=80,3.6,Y31/75*100&gt;=70,3.2,Y31/75*100&gt;=60,2.8,Y31/75*100&gt;=50,2.4,Y31/75*100&gt;=40,2,Y31/75*100&gt;=35,1.6,TRUE, 0)</f>
        <v>3.2</v>
      </c>
      <c r="AA31" s="5" t="str" cm="1">
        <f t="array" ref="AA31">_xlfn.IFS(Z31=4,"A+",Z31=3.6,"A",Z31=3.2,"B+",Z31=2.8,"B",Z31=2.4,"C+",Z31=2,"C",Z31=1.6,"D",TRUE,"NG")</f>
        <v>B+</v>
      </c>
      <c r="AB31" s="4">
        <v>21</v>
      </c>
      <c r="AC31" s="5" cm="1">
        <f t="array" ref="AC31">_xlfn.IFS(AB31/25*100&gt;=90,4,AB31/25*100&gt;=80,3.6,AB31/25*100&gt;=70,3.2,AB31/25*100&gt;=60,2.8,AB31/25*100&gt;=50,2.4,AB31/25*100&gt;=40,2,AB31/25*100&gt;=35,1.6,TRUE, 0)</f>
        <v>3.6</v>
      </c>
      <c r="AD31" s="5" t="str" cm="1">
        <f t="array" ref="AD31">_xlfn.IFS(AC31=4,"A+",AC31=3.6,"A",AC31=3.2,"B+",AC31=2.8,"B",AC31=2.4,"C+",AC31=2,"C",AC31=1.6,"D",TRUE,"NG")</f>
        <v>A</v>
      </c>
      <c r="AE31" s="5">
        <f t="shared" ref="AE31:AE39" si="9">(Z31*3.75+AC31*1.25)/5</f>
        <v>3.3</v>
      </c>
      <c r="AF31" s="5" t="str" cm="1">
        <f t="array" ref="AF31">_xlfn.IFS(AND(AE31&lt;=4,AE31&gt;3.6),"A+",AND(AE31&lt;=3.6,AE31&gt;3.2),"A",AND(AE31&lt;=3.2,AE31&gt;2.8),"B+",AND(AE31&lt;=2.8,AE31&gt;2.4),"B",AND(AE31&lt;=2.4,AE31&gt;2),"C+",AND(AE31&lt;=2,AE31&gt;1.6),"C",AE31=1.6,"D",TRUE,"NG")</f>
        <v>A</v>
      </c>
      <c r="AG31" s="4">
        <v>40</v>
      </c>
      <c r="AH31" s="5" cm="1">
        <f t="array" ref="AH31">_xlfn.IFS(AG31/75*100&gt;=90,4,AG31/75*100&gt;=80,3.6,AG31/75*100&gt;=70,3.2,AG31/75*100&gt;=60,2.8,AG31/75*100&gt;=50,2.4,AG31/75*100&gt;=40,2,AG31/75*100&gt;=35,1.6,TRUE, 0)</f>
        <v>2.4</v>
      </c>
      <c r="AI31" s="5" t="str" cm="1">
        <f t="array" ref="AI31">_xlfn.IFS(AH31=4,"A+",AH31=3.6,"A",AH31=3.2,"B+",AH31=2.8,"B",AH31=2.4,"C+",AH31=2,"C",AH31=1.6,"D",TRUE,"NG")</f>
        <v>C+</v>
      </c>
      <c r="AJ31" s="4">
        <v>21</v>
      </c>
      <c r="AK31" s="5" cm="1">
        <f t="array" ref="AK31">_xlfn.IFS(AJ31/25*100&gt;=90,4,AJ31/25*100&gt;=80,3.6,AJ31/25*100&gt;=70,3.2,AJ31/25*100&gt;=60,2.8,AJ31/25*100&gt;=50,2.4,AJ31/25*100&gt;=40,2,AJ31/25*100&gt;=35,1.6,TRUE, 0)</f>
        <v>3.6</v>
      </c>
      <c r="AL31" s="5" t="str" cm="1">
        <f t="array" ref="AL31">_xlfn.IFS(AK31=4,"A+",AK31=3.6,"A",AK31=3.2,"B+",AK31=2.8,"B",AK31=2.4,"C+",AK31=2,"C",AK31=1.6,"D",TRUE,"NG")</f>
        <v>A</v>
      </c>
      <c r="AM31" s="5">
        <f t="shared" ref="AM31:AM39" si="10">(AH31*3.75+AK31*1.25)/5</f>
        <v>2.7</v>
      </c>
      <c r="AN31" s="5" t="str" cm="1">
        <f t="array" ref="AN31">_xlfn.IFS(AND(AM31&lt;=4,AM31&gt;3.6),"A+",AND(AM31&lt;=3.6,AM31&gt;3.2),"A",AND(AM31&lt;=3.2,AM31&gt;2.8),"B+",AND(AM31&lt;=2.8,AM31&gt;2.4),"B",AND(AM31&lt;=2.4,AM31&gt;2),"C+",AND(AM31&lt;=2,AM31&gt;1.6),"C",AM31=1.6,"D",TRUE,"NG")</f>
        <v>B</v>
      </c>
      <c r="AO31" s="4">
        <v>60</v>
      </c>
      <c r="AP31" s="5" cm="1">
        <f t="array" ref="AP31">_xlfn.IFS(AO31/75*100&gt;=90,4,AO31/75*100&gt;=80,3.6,AO31/75*100&gt;=70,3.2,AO31/75*100&gt;=60,2.8,AO31/75*100&gt;=50,2.4,AO31/75*100&gt;=40,2,AO31/75*100&gt;=35,1.6,TRUE, 0)</f>
        <v>3.6</v>
      </c>
      <c r="AQ31" s="5" t="str" cm="1">
        <f t="array" ref="AQ31">_xlfn.IFS(AP31=4,"A+",AP31=3.6,"A",AP31=3.2,"B+",AP31=2.8,"B",AP31=2.4,"C+",AP31=2,"C",AP31=1.6,"D",TRUE,"NG")</f>
        <v>A</v>
      </c>
      <c r="AR31" s="5" cm="1">
        <f t="array" ref="AR31">_xlfn.IFS(AO31&gt;=70,25,AO31&gt;=60,24,AO31&gt;=50,23,AO31&gt;=40,22,AO31&gt;=30,21,TRUE,20)</f>
        <v>24</v>
      </c>
      <c r="AS31" s="5" cm="1">
        <f t="array" ref="AS31">_xlfn.IFS(AR31/25*100&gt;=90,4,AR31/25*100&gt;=80,3.6,AR31/25*100&gt;=70,3.2,AR31/25*100&gt;=60,2.8,AR31/25*100&gt;=50,2.4,AR31/25*100&gt;=40,2,AR31/25*100&gt;=35,1.6,TRUE, 0)</f>
        <v>4</v>
      </c>
      <c r="AT31" s="5" t="str" cm="1">
        <f t="array" ref="AT31">_xlfn.IFS(AS31=4,"A+",AS31=3.6,"A",AS31=3.2,"B+",AS31=2.8,"B",AS31=2.4,"C+",AS31=2,"C",AS31=1.6,"D",TRUE,"NG")</f>
        <v>A+</v>
      </c>
      <c r="AU31" s="5">
        <f t="shared" ref="AU31:AU39" si="11">(AP31*3.75+AS31*1.25)/5</f>
        <v>3.7</v>
      </c>
      <c r="AV31" s="5" t="str" cm="1">
        <f t="array" ref="AV31">_xlfn.IFS(AND(AU31&lt;=4,AU31&gt;3.6),"A+",AND(AU31&lt;=3.6,AU31&gt;3.2),"A",AND(AU31&lt;=3.2,AU31&gt;2.8),"B+",AND(AU31&lt;=2.8,AU31&gt;2.4),"B",AND(AU31&lt;=2.4,AU31&gt;2),"C+",AND(AU31&lt;=2,AU31&gt;1.6),"C",AU31=1.6,"D",TRUE,"NG")</f>
        <v>A+</v>
      </c>
      <c r="AW31" s="4">
        <v>35</v>
      </c>
      <c r="AX31" s="5" cm="1">
        <f t="array" ref="AX31">_xlfn.IFS(AW31="-","-",AW31/75*100&gt;=90,4,AW31/75*100&gt;=80,3.6,AW31/75*100&gt;=70,3.2,AW31/75*100&gt;=60,2.8,AW31/75*100&gt;=50,2.4,AW31/75*100&gt;=40,2,AW31/75*100&gt;=35,1.6,TRUE, 0)</f>
        <v>2</v>
      </c>
      <c r="AY31" s="5" t="str" cm="1">
        <f t="array" ref="AY31">_xlfn.IFS(AX31="-","-",AX31=4,"A+",AX31=3.6,"A",AX31=3.2,"B+",AX31=2.8,"B",AX31=2.4,"C+",AX31=2,"C",AX31=1.6,"D",TRUE,"NG")</f>
        <v>C</v>
      </c>
      <c r="AZ31" s="4">
        <v>18</v>
      </c>
      <c r="BA31" s="5" cm="1">
        <f t="array" ref="BA31">_xlfn.IFS(AZ31="-","-",AZ31/25*100&gt;=90,4,AZ31/25*100&gt;=80,3.6,AZ31/25*100&gt;=70,3.2,AZ31/25*100&gt;=60,2.8,AZ31/25*100&gt;=50,2.4,AZ31/25*100&gt;=40,2,AZ31/25*100&gt;=35,1.6,TRUE, 0)</f>
        <v>3.2</v>
      </c>
      <c r="BB31" s="5" t="str" cm="1">
        <f t="array" ref="BB31">_xlfn.IFS(BA31="-","-",BA31=4,"A+",BA31=3.6,"A",BA31=3.2,"B+",BA31=2.8,"B",BA31=2.4,"C+",BA31=2,"C",BA31=1.6,"D",TRUE,"NG")</f>
        <v>B+</v>
      </c>
      <c r="BC31" s="5">
        <f t="shared" ref="BC31:BC39" si="12">IF(AX31="-","-",(AX31*3.75+BA31*1.25)/5)</f>
        <v>2.2999999999999998</v>
      </c>
      <c r="BD31" s="5" t="str" cm="1">
        <f t="array" ref="BD31">_xlfn.IFS(BC31="-","-",AND(BC31&lt;=4,BC31&gt;3.6),"A+",AND(BC31&lt;=3.6,BC31&gt;3.2),"A",AND(BC31&lt;=3.2,BC31&gt;2.8),"B+",AND(BC31&lt;=2.8,BC31&gt;2.4),"B",AND(BC31&lt;=2.4,BC31&gt;2),"C+",AND(BC31&lt;=2,BC31&gt;1.6),"C",BC31=1.6,"D",TRUE,"NG")</f>
        <v>C+</v>
      </c>
      <c r="BE31" s="4" t="s">
        <v>63</v>
      </c>
      <c r="BF31" t="str" cm="1">
        <f t="array" ref="BF31">_xlfn.IFS(BE31="-","-",BE31/50*100&gt;=90,4,BE31/50*100&gt;=80,3.6,BE31/50*100&gt;=70,3.2,BE31/50*100&gt;=60,2.8,BE31/50*100&gt;=50,2.4,BE31/50*100&gt;=40,2,BE31/50*100&gt;=35,1.6,TRUE, 0)</f>
        <v>-</v>
      </c>
      <c r="BG31" t="str" cm="1">
        <f t="array" ref="BG31">_xlfn.IFS(BF31="-","-",BF31=4,"A+",BF31=3.6,"A",BF31=3.2,"B+",BF31=2.8,"B",BF31=2.4,"C+",BF31=2,"C",BF31=1.6,"D",TRUE,"NG")</f>
        <v>-</v>
      </c>
      <c r="BH31" s="4" t="s">
        <v>63</v>
      </c>
      <c r="BI31" t="str" cm="1">
        <f t="array" ref="BI31">_xlfn.IFS(BH31="-","-",BH31/50*100&gt;=90,4,BH31/50*100&gt;=80,3.6,BH31/50*100&gt;=70,3.2,BH31/50*100&gt;=60,2.8,BH31/50*100&gt;=50,2.4,BH31/50*100&gt;=40,2,BH31/50*100&gt;=35,1.6,TRUE, 0)</f>
        <v>-</v>
      </c>
      <c r="BJ31" t="str" cm="1">
        <f t="array" ref="BJ31">_xlfn.IFS(BI31="-","-",BI31=4,"A+",BI31=3.6,"A",BI31=3.2,"B+",BI31=2.8,"B",BI31=2.4,"C+",BI31=2,"C",BI31=1.6,"D",TRUE,"NG")</f>
        <v>-</v>
      </c>
      <c r="BK31" t="str">
        <f t="shared" ref="BK31:BK39" si="13">IF(BF31="-","-",(BF31*2.5+BI31*2.5)/5)</f>
        <v>-</v>
      </c>
      <c r="BL31" t="str" cm="1">
        <f t="array" ref="BL31">_xlfn.IFS(BK31="-","-",AND(BK31&lt;=4,BK31&gt;3.6),"A+",AND(BK31&lt;=3.6,BK31&gt;3.2),"A",AND(BK31&lt;=3.2,BK31&gt;2.8),"B+",AND(BK31&lt;=2.8,BK31&gt;2.4),"B",AND(BK31&lt;=2.4,BK31&gt;2),"C+",AND(BK31&lt;=2,BK31&gt;1.6),"C",BK31=1.6,"D",TRUE,"NG")</f>
        <v>-</v>
      </c>
      <c r="BM31" s="9" cm="1">
        <f t="array" ref="BM31">_xlfn.IFS(AW31&lt;&gt;"-",((J31*3+M31*1)+(R31*2.25+U31*0.75)+(Z31*3.75+AC31*1.25)+(AH31*3.75+AK31*1.25)+(AP31*3.75+AS31*1.25)+(AX31*3.75+BA31*1.25))/(4+3+5*4),BE31&lt;&gt;"-",((J31*3+M31*1)+(R31*2.25+U31*0.75)+(Z31*3.75+AC31*1.25)+(AH31*3.75+AK31*1.25)+(AP31*3.75+AS31*1.25)+(BF31*2.5+BI31*2.5))/(4+3+5*4))</f>
        <v>2.9</v>
      </c>
    </row>
    <row r="32" spans="1:65" x14ac:dyDescent="0.3">
      <c r="A32" s="2">
        <v>131</v>
      </c>
      <c r="B32" s="12">
        <v>793270280064</v>
      </c>
      <c r="C32" s="13">
        <v>12706915</v>
      </c>
      <c r="D32" s="14" t="s">
        <v>97</v>
      </c>
      <c r="E32" t="s">
        <v>64</v>
      </c>
      <c r="F32" s="15">
        <v>58931</v>
      </c>
      <c r="G32" s="3" t="str">
        <f t="shared" si="0"/>
        <v>2061/05/05</v>
      </c>
      <c r="H32" s="3" t="str" cm="1">
        <f t="array" ref="H32">[1]!bs2ad(G32)</f>
        <v>2004-8-21</v>
      </c>
      <c r="I32" s="4">
        <v>63</v>
      </c>
      <c r="J32" s="5" cm="1">
        <f t="array" ref="J32">_xlfn.IFS(I32/75*100&gt;=90,4,I32/75*100&gt;=80,3.6,I32/75*100&gt;=70,3.2,I32/75*100&gt;=60,2.8,I32/75*100&gt;=50,2.4,I32/75*100&gt;=40,2,I32/75*100&gt;=35,1.6,TRUE, 0)</f>
        <v>3.6</v>
      </c>
      <c r="K32" s="5" t="str" cm="1">
        <f t="array" ref="K32">_xlfn.IFS(J32=4,"A+",J32=3.6,"A",J32=3.2,"B+",J32=2.8,"B",J32=2.4,"C+",J32=2,"C",J32=1.6,"D",TRUE,"NG")</f>
        <v>A</v>
      </c>
      <c r="L32" s="4">
        <v>22</v>
      </c>
      <c r="M32" s="5" cm="1">
        <f t="array" ref="M32">_xlfn.IFS(L32/25*100&gt;=90,4,L32/25*100&gt;=80,3.6,L32/25*100&gt;=70,3.2,L32/25*100&gt;=60,2.8,L32/25*100&gt;=50,2.4,L32/25*100&gt;=40,2,L32/25*100&gt;=35,1.6,TRUE, 0)</f>
        <v>3.6</v>
      </c>
      <c r="N32" s="5" t="str" cm="1">
        <f t="array" ref="N32">_xlfn.IFS(M32=4,"A+",M32=3.6,"A",M32=3.2,"B+",M32=2.8,"B",M32=2.4,"C+",M32=2,"C",M32=1.6,"D",TRUE,"NG")</f>
        <v>A</v>
      </c>
      <c r="O32" s="5">
        <f t="shared" si="1"/>
        <v>3.6</v>
      </c>
      <c r="P32" s="5" t="str" cm="1">
        <f t="array" ref="P32">_xlfn.IFS(AND(O32&lt;=4,O32&gt;3.6),"A+",AND(O32&lt;=3.6,O32&gt;3.2),"A",AND(O32&lt;=3.2,O32&gt;2.8),"B+",AND(O32&lt;=2.8,O32&gt;2.4),"B",AND(O32&lt;=2.4,O32&gt;2),"C+",AND(O32&lt;=2,O32&gt;1.6),"C",O32=1.6,"D",TRUE,"NG")</f>
        <v>A</v>
      </c>
      <c r="Q32" s="4">
        <v>45</v>
      </c>
      <c r="R32" s="5" cm="1">
        <f t="array" ref="R32">_xlfn.IFS(Q32/75*100&gt;=90,4,Q32/75*100&gt;=80,3.6,Q32/75*100&gt;=70,3.2,Q32/75*100&gt;=60,2.8,Q32/75*100&gt;=50,2.4,Q32/75*100&gt;=40,2,Q32/75*100&gt;=35,1.6,TRUE, 0)</f>
        <v>2.8</v>
      </c>
      <c r="S32" s="5" t="str" cm="1">
        <f t="array" ref="S32">_xlfn.IFS(R32=4,"A+",R32=3.6,"A",R32=3.2,"B+",R32=2.8,"B",R32=2.4,"C+",R32=2,"C",R32=1.6,"D",TRUE,"NG")</f>
        <v>B</v>
      </c>
      <c r="T32" s="5" cm="1">
        <f t="array" ref="T32">_xlfn.IFS(Q32&gt;=70,25,Q32&gt;=60,24,Q32&gt;=50,23,Q32&gt;=40,22,Q32&gt;=30,21,TRUE,20)</f>
        <v>22</v>
      </c>
      <c r="U32" s="5" cm="1">
        <f t="array" ref="U32">_xlfn.IFS(T32/25*100&gt;=90,4,T32/25*100&gt;=80,3.6,T32/25*100&gt;=70,3.2,T32/25*100&gt;=60,2.8,T32/25*100&gt;=50,2.4,T32/25*100&gt;=40,2,T32/25*100&gt;=35,1.6,TRUE, 0)</f>
        <v>3.6</v>
      </c>
      <c r="V32" s="5" t="str" cm="1">
        <f t="array" ref="V32">_xlfn.IFS(U32=4,"A+",U32=3.6,"A",U32=3.2,"B+",U32=2.8,"B",U32=2.4,"C+",U32=2,"C",U32=1.6,"D",TRUE,"NG")</f>
        <v>A</v>
      </c>
      <c r="W32" s="5">
        <f t="shared" si="8"/>
        <v>3</v>
      </c>
      <c r="X32" s="5" t="str" cm="1">
        <f t="array" ref="X32">_xlfn.IFS(AND(W32&lt;=4,W32&gt;3.6),"A+",AND(W32&lt;=3.6,W32&gt;3.2),"A",AND(W32&lt;=3.2,W32&gt;2.8),"B+",AND(W32&lt;=2.8,W32&gt;2.4),"B",AND(W32&lt;=2.4,W32&gt;2),"C+",AND(W32&lt;=2,W32&gt;1.6),"C",W32=1.6,"D",TRUE,"NG")</f>
        <v>B+</v>
      </c>
      <c r="Y32" s="4">
        <v>61</v>
      </c>
      <c r="Z32" s="5" cm="1">
        <f t="array" ref="Z32">_xlfn.IFS(Y32/75*100&gt;=90,4,Y32/75*100&gt;=80,3.6,Y32/75*100&gt;=70,3.2,Y32/75*100&gt;=60,2.8,Y32/75*100&gt;=50,2.4,Y32/75*100&gt;=40,2,Y32/75*100&gt;=35,1.6,TRUE, 0)</f>
        <v>3.6</v>
      </c>
      <c r="AA32" s="5" t="str" cm="1">
        <f t="array" ref="AA32">_xlfn.IFS(Z32=4,"A+",Z32=3.6,"A",Z32=3.2,"B+",Z32=2.8,"B",Z32=2.4,"C+",Z32=2,"C",Z32=1.6,"D",TRUE,"NG")</f>
        <v>A</v>
      </c>
      <c r="AB32" s="4">
        <v>24</v>
      </c>
      <c r="AC32" s="5" cm="1">
        <f t="array" ref="AC32">_xlfn.IFS(AB32/25*100&gt;=90,4,AB32/25*100&gt;=80,3.6,AB32/25*100&gt;=70,3.2,AB32/25*100&gt;=60,2.8,AB32/25*100&gt;=50,2.4,AB32/25*100&gt;=40,2,AB32/25*100&gt;=35,1.6,TRUE, 0)</f>
        <v>4</v>
      </c>
      <c r="AD32" s="5" t="str" cm="1">
        <f t="array" ref="AD32">_xlfn.IFS(AC32=4,"A+",AC32=3.6,"A",AC32=3.2,"B+",AC32=2.8,"B",AC32=2.4,"C+",AC32=2,"C",AC32=1.6,"D",TRUE,"NG")</f>
        <v>A+</v>
      </c>
      <c r="AE32" s="5">
        <f t="shared" si="9"/>
        <v>3.7</v>
      </c>
      <c r="AF32" s="5" t="str" cm="1">
        <f t="array" ref="AF32">_xlfn.IFS(AND(AE32&lt;=4,AE32&gt;3.6),"A+",AND(AE32&lt;=3.6,AE32&gt;3.2),"A",AND(AE32&lt;=3.2,AE32&gt;2.8),"B+",AND(AE32&lt;=2.8,AE32&gt;2.4),"B",AND(AE32&lt;=2.4,AE32&gt;2),"C+",AND(AE32&lt;=2,AE32&gt;1.6),"C",AE32=1.6,"D",TRUE,"NG")</f>
        <v>A+</v>
      </c>
      <c r="AG32" s="4">
        <v>43</v>
      </c>
      <c r="AH32" s="5" cm="1">
        <f t="array" ref="AH32">_xlfn.IFS(AG32/75*100&gt;=90,4,AG32/75*100&gt;=80,3.6,AG32/75*100&gt;=70,3.2,AG32/75*100&gt;=60,2.8,AG32/75*100&gt;=50,2.4,AG32/75*100&gt;=40,2,AG32/75*100&gt;=35,1.6,TRUE, 0)</f>
        <v>2.4</v>
      </c>
      <c r="AI32" s="5" t="str" cm="1">
        <f t="array" ref="AI32">_xlfn.IFS(AH32=4,"A+",AH32=3.6,"A",AH32=3.2,"B+",AH32=2.8,"B",AH32=2.4,"C+",AH32=2,"C",AH32=1.6,"D",TRUE,"NG")</f>
        <v>C+</v>
      </c>
      <c r="AJ32" s="4">
        <v>24</v>
      </c>
      <c r="AK32" s="5" cm="1">
        <f t="array" ref="AK32">_xlfn.IFS(AJ32/25*100&gt;=90,4,AJ32/25*100&gt;=80,3.6,AJ32/25*100&gt;=70,3.2,AJ32/25*100&gt;=60,2.8,AJ32/25*100&gt;=50,2.4,AJ32/25*100&gt;=40,2,AJ32/25*100&gt;=35,1.6,TRUE, 0)</f>
        <v>4</v>
      </c>
      <c r="AL32" s="5" t="str" cm="1">
        <f t="array" ref="AL32">_xlfn.IFS(AK32=4,"A+",AK32=3.6,"A",AK32=3.2,"B+",AK32=2.8,"B",AK32=2.4,"C+",AK32=2,"C",AK32=1.6,"D",TRUE,"NG")</f>
        <v>A+</v>
      </c>
      <c r="AM32" s="5">
        <f t="shared" si="10"/>
        <v>2.8</v>
      </c>
      <c r="AN32" s="5" t="str" cm="1">
        <f t="array" ref="AN32">_xlfn.IFS(AND(AM32&lt;=4,AM32&gt;3.6),"A+",AND(AM32&lt;=3.6,AM32&gt;3.2),"A",AND(AM32&lt;=3.2,AM32&gt;2.8),"B+",AND(AM32&lt;=2.8,AM32&gt;2.4),"B",AND(AM32&lt;=2.4,AM32&gt;2),"C+",AND(AM32&lt;=2,AM32&gt;1.6),"C",AM32=1.6,"D",TRUE,"NG")</f>
        <v>B</v>
      </c>
      <c r="AO32" s="4">
        <v>70</v>
      </c>
      <c r="AP32" s="5" cm="1">
        <f t="array" ref="AP32">_xlfn.IFS(AO32/75*100&gt;=90,4,AO32/75*100&gt;=80,3.6,AO32/75*100&gt;=70,3.2,AO32/75*100&gt;=60,2.8,AO32/75*100&gt;=50,2.4,AO32/75*100&gt;=40,2,AO32/75*100&gt;=35,1.6,TRUE, 0)</f>
        <v>4</v>
      </c>
      <c r="AQ32" s="5" t="str" cm="1">
        <f t="array" ref="AQ32">_xlfn.IFS(AP32=4,"A+",AP32=3.6,"A",AP32=3.2,"B+",AP32=2.8,"B",AP32=2.4,"C+",AP32=2,"C",AP32=1.6,"D",TRUE,"NG")</f>
        <v>A+</v>
      </c>
      <c r="AR32" s="5" cm="1">
        <f t="array" ref="AR32">_xlfn.IFS(AO32&gt;=70,25,AO32&gt;=60,24,AO32&gt;=50,23,AO32&gt;=40,22,AO32&gt;=30,21,TRUE,20)</f>
        <v>25</v>
      </c>
      <c r="AS32" s="5" cm="1">
        <f t="array" ref="AS32">_xlfn.IFS(AR32/25*100&gt;=90,4,AR32/25*100&gt;=80,3.6,AR32/25*100&gt;=70,3.2,AR32/25*100&gt;=60,2.8,AR32/25*100&gt;=50,2.4,AR32/25*100&gt;=40,2,AR32/25*100&gt;=35,1.6,TRUE, 0)</f>
        <v>4</v>
      </c>
      <c r="AT32" s="5" t="str" cm="1">
        <f t="array" ref="AT32">_xlfn.IFS(AS32=4,"A+",AS32=3.6,"A",AS32=3.2,"B+",AS32=2.8,"B",AS32=2.4,"C+",AS32=2,"C",AS32=1.6,"D",TRUE,"NG")</f>
        <v>A+</v>
      </c>
      <c r="AU32" s="5">
        <f t="shared" si="11"/>
        <v>4</v>
      </c>
      <c r="AV32" s="5" t="str" cm="1">
        <f t="array" ref="AV32">_xlfn.IFS(AND(AU32&lt;=4,AU32&gt;3.6),"A+",AND(AU32&lt;=3.6,AU32&gt;3.2),"A",AND(AU32&lt;=3.2,AU32&gt;2.8),"B+",AND(AU32&lt;=2.8,AU32&gt;2.4),"B",AND(AU32&lt;=2.4,AU32&gt;2),"C+",AND(AU32&lt;=2,AU32&gt;1.6),"C",AU32=1.6,"D",TRUE,"NG")</f>
        <v>A+</v>
      </c>
      <c r="AW32" s="4">
        <v>38</v>
      </c>
      <c r="AX32" s="5" cm="1">
        <f t="array" ref="AX32">_xlfn.IFS(AW32="-","-",AW32/75*100&gt;=90,4,AW32/75*100&gt;=80,3.6,AW32/75*100&gt;=70,3.2,AW32/75*100&gt;=60,2.8,AW32/75*100&gt;=50,2.4,AW32/75*100&gt;=40,2,AW32/75*100&gt;=35,1.6,TRUE, 0)</f>
        <v>2.4</v>
      </c>
      <c r="AY32" s="5" t="str" cm="1">
        <f t="array" ref="AY32">_xlfn.IFS(AX32="-","-",AX32=4,"A+",AX32=3.6,"A",AX32=3.2,"B+",AX32=2.8,"B",AX32=2.4,"C+",AX32=2,"C",AX32=1.6,"D",TRUE,"NG")</f>
        <v>C+</v>
      </c>
      <c r="AZ32" s="4">
        <v>22</v>
      </c>
      <c r="BA32" s="5" cm="1">
        <f t="array" ref="BA32">_xlfn.IFS(AZ32="-","-",AZ32/25*100&gt;=90,4,AZ32/25*100&gt;=80,3.6,AZ32/25*100&gt;=70,3.2,AZ32/25*100&gt;=60,2.8,AZ32/25*100&gt;=50,2.4,AZ32/25*100&gt;=40,2,AZ32/25*100&gt;=35,1.6,TRUE, 0)</f>
        <v>3.6</v>
      </c>
      <c r="BB32" s="5" t="str" cm="1">
        <f t="array" ref="BB32">_xlfn.IFS(BA32="-","-",BA32=4,"A+",BA32=3.6,"A",BA32=3.2,"B+",BA32=2.8,"B",BA32=2.4,"C+",BA32=2,"C",BA32=1.6,"D",TRUE,"NG")</f>
        <v>A</v>
      </c>
      <c r="BC32" s="5">
        <f t="shared" si="12"/>
        <v>2.7</v>
      </c>
      <c r="BD32" s="5" t="str" cm="1">
        <f t="array" ref="BD32">_xlfn.IFS(BC32="-","-",AND(BC32&lt;=4,BC32&gt;3.6),"A+",AND(BC32&lt;=3.6,BC32&gt;3.2),"A",AND(BC32&lt;=3.2,BC32&gt;2.8),"B+",AND(BC32&lt;=2.8,BC32&gt;2.4),"B",AND(BC32&lt;=2.4,BC32&gt;2),"C+",AND(BC32&lt;=2,BC32&gt;1.6),"C",BC32=1.6,"D",TRUE,"NG")</f>
        <v>B</v>
      </c>
      <c r="BE32" s="4" t="s">
        <v>63</v>
      </c>
      <c r="BF32" t="str" cm="1">
        <f t="array" ref="BF32">_xlfn.IFS(BE32="-","-",BE32/50*100&gt;=90,4,BE32/50*100&gt;=80,3.6,BE32/50*100&gt;=70,3.2,BE32/50*100&gt;=60,2.8,BE32/50*100&gt;=50,2.4,BE32/50*100&gt;=40,2,BE32/50*100&gt;=35,1.6,TRUE, 0)</f>
        <v>-</v>
      </c>
      <c r="BG32" t="str" cm="1">
        <f t="array" ref="BG32">_xlfn.IFS(BF32="-","-",BF32=4,"A+",BF32=3.6,"A",BF32=3.2,"B+",BF32=2.8,"B",BF32=2.4,"C+",BF32=2,"C",BF32=1.6,"D",TRUE,"NG")</f>
        <v>-</v>
      </c>
      <c r="BH32" s="4" t="s">
        <v>63</v>
      </c>
      <c r="BI32" t="str" cm="1">
        <f t="array" ref="BI32">_xlfn.IFS(BH32="-","-",BH32/50*100&gt;=90,4,BH32/50*100&gt;=80,3.6,BH32/50*100&gt;=70,3.2,BH32/50*100&gt;=60,2.8,BH32/50*100&gt;=50,2.4,BH32/50*100&gt;=40,2,BH32/50*100&gt;=35,1.6,TRUE, 0)</f>
        <v>-</v>
      </c>
      <c r="BJ32" t="str" cm="1">
        <f t="array" ref="BJ32">_xlfn.IFS(BI32="-","-",BI32=4,"A+",BI32=3.6,"A",BI32=3.2,"B+",BI32=2.8,"B",BI32=2.4,"C+",BI32=2,"C",BI32=1.6,"D",TRUE,"NG")</f>
        <v>-</v>
      </c>
      <c r="BK32" t="str">
        <f t="shared" si="13"/>
        <v>-</v>
      </c>
      <c r="BL32" t="str" cm="1">
        <f t="array" ref="BL32">_xlfn.IFS(BK32="-","-",AND(BK32&lt;=4,BK32&gt;3.6),"A+",AND(BK32&lt;=3.6,BK32&gt;3.2),"A",AND(BK32&lt;=3.2,BK32&gt;2.8),"B+",AND(BK32&lt;=2.8,BK32&gt;2.4),"B",AND(BK32&lt;=2.4,BK32&gt;2),"C+",AND(BK32&lt;=2,BK32&gt;1.6),"C",BK32=1.6,"D",TRUE,"NG")</f>
        <v>-</v>
      </c>
      <c r="BM32" s="9" cm="1">
        <f t="array" ref="BM32">_xlfn.IFS(AW32&lt;&gt;"-",((J32*3+M32*1)+(R32*2.25+U32*0.75)+(Z32*3.75+AC32*1.25)+(AH32*3.75+AK32*1.25)+(AP32*3.75+AS32*1.25)+(AX32*3.75+BA32*1.25))/(4+3+5*4),BE32&lt;&gt;"-",((J32*3+M32*1)+(R32*2.25+U32*0.75)+(Z32*3.75+AC32*1.25)+(AH32*3.75+AK32*1.25)+(AP32*3.75+AS32*1.25)+(BF32*2.5+BI32*2.5))/(4+3+5*4))</f>
        <v>3.3111111111111113</v>
      </c>
    </row>
    <row r="33" spans="1:65" x14ac:dyDescent="0.3">
      <c r="A33" s="2">
        <v>132</v>
      </c>
      <c r="B33" s="12">
        <v>793270280066</v>
      </c>
      <c r="C33" s="13">
        <v>12706917</v>
      </c>
      <c r="D33" s="14" t="s">
        <v>98</v>
      </c>
      <c r="E33" t="s">
        <v>64</v>
      </c>
      <c r="F33" s="15">
        <v>59495</v>
      </c>
      <c r="G33" s="3" t="str">
        <f t="shared" si="0"/>
        <v>2062/11/20</v>
      </c>
      <c r="H33" s="3" t="str" cm="1">
        <f t="array" ref="H33">[1]!bs2ad(G33)</f>
        <v>2006-3-4</v>
      </c>
      <c r="I33" s="4">
        <v>46</v>
      </c>
      <c r="J33" s="5" cm="1">
        <f t="array" ref="J33">_xlfn.IFS(I33/75*100&gt;=90,4,I33/75*100&gt;=80,3.6,I33/75*100&gt;=70,3.2,I33/75*100&gt;=60,2.8,I33/75*100&gt;=50,2.4,I33/75*100&gt;=40,2,I33/75*100&gt;=35,1.6,TRUE, 0)</f>
        <v>2.8</v>
      </c>
      <c r="K33" s="5" t="str" cm="1">
        <f t="array" ref="K33">_xlfn.IFS(J33=4,"A+",J33=3.6,"A",J33=3.2,"B+",J33=2.8,"B",J33=2.4,"C+",J33=2,"C",J33=1.6,"D",TRUE,"NG")</f>
        <v>B</v>
      </c>
      <c r="L33" s="4">
        <v>25</v>
      </c>
      <c r="M33" s="5" cm="1">
        <f t="array" ref="M33">_xlfn.IFS(L33/25*100&gt;=90,4,L33/25*100&gt;=80,3.6,L33/25*100&gt;=70,3.2,L33/25*100&gt;=60,2.8,L33/25*100&gt;=50,2.4,L33/25*100&gt;=40,2,L33/25*100&gt;=35,1.6,TRUE, 0)</f>
        <v>4</v>
      </c>
      <c r="N33" s="5" t="str" cm="1">
        <f t="array" ref="N33">_xlfn.IFS(M33=4,"A+",M33=3.6,"A",M33=3.2,"B+",M33=2.8,"B",M33=2.4,"C+",M33=2,"C",M33=1.6,"D",TRUE,"NG")</f>
        <v>A+</v>
      </c>
      <c r="O33" s="5">
        <f t="shared" si="1"/>
        <v>3.0999999999999996</v>
      </c>
      <c r="P33" s="5" t="str" cm="1">
        <f t="array" ref="P33">_xlfn.IFS(AND(O33&lt;=4,O33&gt;3.6),"A+",AND(O33&lt;=3.6,O33&gt;3.2),"A",AND(O33&lt;=3.2,O33&gt;2.8),"B+",AND(O33&lt;=2.8,O33&gt;2.4),"B",AND(O33&lt;=2.4,O33&gt;2),"C+",AND(O33&lt;=2,O33&gt;1.6),"C",O33=1.6,"D",TRUE,"NG")</f>
        <v>B+</v>
      </c>
      <c r="Q33" s="4">
        <v>45</v>
      </c>
      <c r="R33" s="5" cm="1">
        <f t="array" ref="R33">_xlfn.IFS(Q33/75*100&gt;=90,4,Q33/75*100&gt;=80,3.6,Q33/75*100&gt;=70,3.2,Q33/75*100&gt;=60,2.8,Q33/75*100&gt;=50,2.4,Q33/75*100&gt;=40,2,Q33/75*100&gt;=35,1.6,TRUE, 0)</f>
        <v>2.8</v>
      </c>
      <c r="S33" s="5" t="str" cm="1">
        <f t="array" ref="S33">_xlfn.IFS(R33=4,"A+",R33=3.6,"A",R33=3.2,"B+",R33=2.8,"B",R33=2.4,"C+",R33=2,"C",R33=1.6,"D",TRUE,"NG")</f>
        <v>B</v>
      </c>
      <c r="T33" s="5" cm="1">
        <f t="array" ref="T33">_xlfn.IFS(Q33&gt;=70,25,Q33&gt;=60,24,Q33&gt;=50,23,Q33&gt;=40,22,Q33&gt;=30,21,TRUE,20)</f>
        <v>22</v>
      </c>
      <c r="U33" s="5" cm="1">
        <f t="array" ref="U33">_xlfn.IFS(T33/25*100&gt;=90,4,T33/25*100&gt;=80,3.6,T33/25*100&gt;=70,3.2,T33/25*100&gt;=60,2.8,T33/25*100&gt;=50,2.4,T33/25*100&gt;=40,2,T33/25*100&gt;=35,1.6,TRUE, 0)</f>
        <v>3.6</v>
      </c>
      <c r="V33" s="5" t="str" cm="1">
        <f t="array" ref="V33">_xlfn.IFS(U33=4,"A+",U33=3.6,"A",U33=3.2,"B+",U33=2.8,"B",U33=2.4,"C+",U33=2,"C",U33=1.6,"D",TRUE,"NG")</f>
        <v>A</v>
      </c>
      <c r="W33" s="5">
        <f t="shared" si="8"/>
        <v>3</v>
      </c>
      <c r="X33" s="5" t="str" cm="1">
        <f t="array" ref="X33">_xlfn.IFS(AND(W33&lt;=4,W33&gt;3.6),"A+",AND(W33&lt;=3.6,W33&gt;3.2),"A",AND(W33&lt;=3.2,W33&gt;2.8),"B+",AND(W33&lt;=2.8,W33&gt;2.4),"B",AND(W33&lt;=2.4,W33&gt;2),"C+",AND(W33&lt;=2,W33&gt;1.6),"C",W33=1.6,"D",TRUE,"NG")</f>
        <v>B+</v>
      </c>
      <c r="Y33" s="4">
        <v>56</v>
      </c>
      <c r="Z33" s="5" cm="1">
        <f t="array" ref="Z33">_xlfn.IFS(Y33/75*100&gt;=90,4,Y33/75*100&gt;=80,3.6,Y33/75*100&gt;=70,3.2,Y33/75*100&gt;=60,2.8,Y33/75*100&gt;=50,2.4,Y33/75*100&gt;=40,2,Y33/75*100&gt;=35,1.6,TRUE, 0)</f>
        <v>3.2</v>
      </c>
      <c r="AA33" s="5" t="str" cm="1">
        <f t="array" ref="AA33">_xlfn.IFS(Z33=4,"A+",Z33=3.6,"A",Z33=3.2,"B+",Z33=2.8,"B",Z33=2.4,"C+",Z33=2,"C",Z33=1.6,"D",TRUE,"NG")</f>
        <v>B+</v>
      </c>
      <c r="AB33" s="4">
        <v>23</v>
      </c>
      <c r="AC33" s="5" cm="1">
        <f t="array" ref="AC33">_xlfn.IFS(AB33/25*100&gt;=90,4,AB33/25*100&gt;=80,3.6,AB33/25*100&gt;=70,3.2,AB33/25*100&gt;=60,2.8,AB33/25*100&gt;=50,2.4,AB33/25*100&gt;=40,2,AB33/25*100&gt;=35,1.6,TRUE, 0)</f>
        <v>4</v>
      </c>
      <c r="AD33" s="5" t="str" cm="1">
        <f t="array" ref="AD33">_xlfn.IFS(AC33=4,"A+",AC33=3.6,"A",AC33=3.2,"B+",AC33=2.8,"B",AC33=2.4,"C+",AC33=2,"C",AC33=1.6,"D",TRUE,"NG")</f>
        <v>A+</v>
      </c>
      <c r="AE33" s="5">
        <f t="shared" si="9"/>
        <v>3.4</v>
      </c>
      <c r="AF33" s="5" t="str" cm="1">
        <f t="array" ref="AF33">_xlfn.IFS(AND(AE33&lt;=4,AE33&gt;3.6),"A+",AND(AE33&lt;=3.6,AE33&gt;3.2),"A",AND(AE33&lt;=3.2,AE33&gt;2.8),"B+",AND(AE33&lt;=2.8,AE33&gt;2.4),"B",AND(AE33&lt;=2.4,AE33&gt;2),"C+",AND(AE33&lt;=2,AE33&gt;1.6),"C",AE33=1.6,"D",TRUE,"NG")</f>
        <v>A</v>
      </c>
      <c r="AG33" s="4">
        <v>41</v>
      </c>
      <c r="AH33" s="5" cm="1">
        <f t="array" ref="AH33">_xlfn.IFS(AG33/75*100&gt;=90,4,AG33/75*100&gt;=80,3.6,AG33/75*100&gt;=70,3.2,AG33/75*100&gt;=60,2.8,AG33/75*100&gt;=50,2.4,AG33/75*100&gt;=40,2,AG33/75*100&gt;=35,1.6,TRUE, 0)</f>
        <v>2.4</v>
      </c>
      <c r="AI33" s="5" t="str" cm="1">
        <f t="array" ref="AI33">_xlfn.IFS(AH33=4,"A+",AH33=3.6,"A",AH33=3.2,"B+",AH33=2.8,"B",AH33=2.4,"C+",AH33=2,"C",AH33=1.6,"D",TRUE,"NG")</f>
        <v>C+</v>
      </c>
      <c r="AJ33" s="4">
        <v>23</v>
      </c>
      <c r="AK33" s="5" cm="1">
        <f t="array" ref="AK33">_xlfn.IFS(AJ33/25*100&gt;=90,4,AJ33/25*100&gt;=80,3.6,AJ33/25*100&gt;=70,3.2,AJ33/25*100&gt;=60,2.8,AJ33/25*100&gt;=50,2.4,AJ33/25*100&gt;=40,2,AJ33/25*100&gt;=35,1.6,TRUE, 0)</f>
        <v>4</v>
      </c>
      <c r="AL33" s="5" t="str" cm="1">
        <f t="array" ref="AL33">_xlfn.IFS(AK33=4,"A+",AK33=3.6,"A",AK33=3.2,"B+",AK33=2.8,"B",AK33=2.4,"C+",AK33=2,"C",AK33=1.6,"D",TRUE,"NG")</f>
        <v>A+</v>
      </c>
      <c r="AM33" s="5">
        <f t="shared" si="10"/>
        <v>2.8</v>
      </c>
      <c r="AN33" s="5" t="str" cm="1">
        <f t="array" ref="AN33">_xlfn.IFS(AND(AM33&lt;=4,AM33&gt;3.6),"A+",AND(AM33&lt;=3.6,AM33&gt;3.2),"A",AND(AM33&lt;=3.2,AM33&gt;2.8),"B+",AND(AM33&lt;=2.8,AM33&gt;2.4),"B",AND(AM33&lt;=2.4,AM33&gt;2),"C+",AND(AM33&lt;=2,AM33&gt;1.6),"C",AM33=1.6,"D",TRUE,"NG")</f>
        <v>B</v>
      </c>
      <c r="AO33" s="4">
        <v>60</v>
      </c>
      <c r="AP33" s="5" cm="1">
        <f t="array" ref="AP33">_xlfn.IFS(AO33/75*100&gt;=90,4,AO33/75*100&gt;=80,3.6,AO33/75*100&gt;=70,3.2,AO33/75*100&gt;=60,2.8,AO33/75*100&gt;=50,2.4,AO33/75*100&gt;=40,2,AO33/75*100&gt;=35,1.6,TRUE, 0)</f>
        <v>3.6</v>
      </c>
      <c r="AQ33" s="5" t="str" cm="1">
        <f t="array" ref="AQ33">_xlfn.IFS(AP33=4,"A+",AP33=3.6,"A",AP33=3.2,"B+",AP33=2.8,"B",AP33=2.4,"C+",AP33=2,"C",AP33=1.6,"D",TRUE,"NG")</f>
        <v>A</v>
      </c>
      <c r="AR33" s="5" cm="1">
        <f t="array" ref="AR33">_xlfn.IFS(AO33&gt;=70,25,AO33&gt;=60,24,AO33&gt;=50,23,AO33&gt;=40,22,AO33&gt;=30,21,TRUE,20)</f>
        <v>24</v>
      </c>
      <c r="AS33" s="5" cm="1">
        <f t="array" ref="AS33">_xlfn.IFS(AR33/25*100&gt;=90,4,AR33/25*100&gt;=80,3.6,AR33/25*100&gt;=70,3.2,AR33/25*100&gt;=60,2.8,AR33/25*100&gt;=50,2.4,AR33/25*100&gt;=40,2,AR33/25*100&gt;=35,1.6,TRUE, 0)</f>
        <v>4</v>
      </c>
      <c r="AT33" s="5" t="str" cm="1">
        <f t="array" ref="AT33">_xlfn.IFS(AS33=4,"A+",AS33=3.6,"A",AS33=3.2,"B+",AS33=2.8,"B",AS33=2.4,"C+",AS33=2,"C",AS33=1.6,"D",TRUE,"NG")</f>
        <v>A+</v>
      </c>
      <c r="AU33" s="5">
        <f t="shared" si="11"/>
        <v>3.7</v>
      </c>
      <c r="AV33" s="5" t="str" cm="1">
        <f t="array" ref="AV33">_xlfn.IFS(AND(AU33&lt;=4,AU33&gt;3.6),"A+",AND(AU33&lt;=3.6,AU33&gt;3.2),"A",AND(AU33&lt;=3.2,AU33&gt;2.8),"B+",AND(AU33&lt;=2.8,AU33&gt;2.4),"B",AND(AU33&lt;=2.4,AU33&gt;2),"C+",AND(AU33&lt;=2,AU33&gt;1.6),"C",AU33=1.6,"D",TRUE,"NG")</f>
        <v>A+</v>
      </c>
      <c r="AW33" s="4">
        <v>36</v>
      </c>
      <c r="AX33" s="5" cm="1">
        <f t="array" ref="AX33">_xlfn.IFS(AW33="-","-",AW33/75*100&gt;=90,4,AW33/75*100&gt;=80,3.6,AW33/75*100&gt;=70,3.2,AW33/75*100&gt;=60,2.8,AW33/75*100&gt;=50,2.4,AW33/75*100&gt;=40,2,AW33/75*100&gt;=35,1.6,TRUE, 0)</f>
        <v>2</v>
      </c>
      <c r="AY33" s="5" t="str" cm="1">
        <f t="array" ref="AY33">_xlfn.IFS(AX33="-","-",AX33=4,"A+",AX33=3.6,"A",AX33=3.2,"B+",AX33=2.8,"B",AX33=2.4,"C+",AX33=2,"C",AX33=1.6,"D",TRUE,"NG")</f>
        <v>C</v>
      </c>
      <c r="AZ33" s="4">
        <v>24</v>
      </c>
      <c r="BA33" s="5" cm="1">
        <f t="array" ref="BA33">_xlfn.IFS(AZ33="-","-",AZ33/25*100&gt;=90,4,AZ33/25*100&gt;=80,3.6,AZ33/25*100&gt;=70,3.2,AZ33/25*100&gt;=60,2.8,AZ33/25*100&gt;=50,2.4,AZ33/25*100&gt;=40,2,AZ33/25*100&gt;=35,1.6,TRUE, 0)</f>
        <v>4</v>
      </c>
      <c r="BB33" s="5" t="str" cm="1">
        <f t="array" ref="BB33">_xlfn.IFS(BA33="-","-",BA33=4,"A+",BA33=3.6,"A",BA33=3.2,"B+",BA33=2.8,"B",BA33=2.4,"C+",BA33=2,"C",BA33=1.6,"D",TRUE,"NG")</f>
        <v>A+</v>
      </c>
      <c r="BC33" s="5">
        <f t="shared" si="12"/>
        <v>2.5</v>
      </c>
      <c r="BD33" s="5" t="str" cm="1">
        <f t="array" ref="BD33">_xlfn.IFS(BC33="-","-",AND(BC33&lt;=4,BC33&gt;3.6),"A+",AND(BC33&lt;=3.6,BC33&gt;3.2),"A",AND(BC33&lt;=3.2,BC33&gt;2.8),"B+",AND(BC33&lt;=2.8,BC33&gt;2.4),"B",AND(BC33&lt;=2.4,BC33&gt;2),"C+",AND(BC33&lt;=2,BC33&gt;1.6),"C",BC33=1.6,"D",TRUE,"NG")</f>
        <v>B</v>
      </c>
      <c r="BE33" s="4" t="s">
        <v>63</v>
      </c>
      <c r="BF33" t="str" cm="1">
        <f t="array" ref="BF33">_xlfn.IFS(BE33="-","-",BE33/50*100&gt;=90,4,BE33/50*100&gt;=80,3.6,BE33/50*100&gt;=70,3.2,BE33/50*100&gt;=60,2.8,BE33/50*100&gt;=50,2.4,BE33/50*100&gt;=40,2,BE33/50*100&gt;=35,1.6,TRUE, 0)</f>
        <v>-</v>
      </c>
      <c r="BG33" t="str" cm="1">
        <f t="array" ref="BG33">_xlfn.IFS(BF33="-","-",BF33=4,"A+",BF33=3.6,"A",BF33=3.2,"B+",BF33=2.8,"B",BF33=2.4,"C+",BF33=2,"C",BF33=1.6,"D",TRUE,"NG")</f>
        <v>-</v>
      </c>
      <c r="BH33" s="4" t="s">
        <v>63</v>
      </c>
      <c r="BI33" t="str" cm="1">
        <f t="array" ref="BI33">_xlfn.IFS(BH33="-","-",BH33/50*100&gt;=90,4,BH33/50*100&gt;=80,3.6,BH33/50*100&gt;=70,3.2,BH33/50*100&gt;=60,2.8,BH33/50*100&gt;=50,2.4,BH33/50*100&gt;=40,2,BH33/50*100&gt;=35,1.6,TRUE, 0)</f>
        <v>-</v>
      </c>
      <c r="BJ33" t="str" cm="1">
        <f t="array" ref="BJ33">_xlfn.IFS(BI33="-","-",BI33=4,"A+",BI33=3.6,"A",BI33=3.2,"B+",BI33=2.8,"B",BI33=2.4,"C+",BI33=2,"C",BI33=1.6,"D",TRUE,"NG")</f>
        <v>-</v>
      </c>
      <c r="BK33" t="str">
        <f t="shared" si="13"/>
        <v>-</v>
      </c>
      <c r="BL33" t="str" cm="1">
        <f t="array" ref="BL33">_xlfn.IFS(BK33="-","-",AND(BK33&lt;=4,BK33&gt;3.6),"A+",AND(BK33&lt;=3.6,BK33&gt;3.2),"A",AND(BK33&lt;=3.2,BK33&gt;2.8),"B+",AND(BK33&lt;=2.8,BK33&gt;2.4),"B",AND(BK33&lt;=2.4,BK33&gt;2),"C+",AND(BK33&lt;=2,BK33&gt;1.6),"C",BK33=1.6,"D",TRUE,"NG")</f>
        <v>-</v>
      </c>
      <c r="BM33" s="9" cm="1">
        <f t="array" ref="BM33">_xlfn.IFS(AW33&lt;&gt;"-",((J33*3+M33*1)+(R33*2.25+U33*0.75)+(Z33*3.75+AC33*1.25)+(AH33*3.75+AK33*1.25)+(AP33*3.75+AS33*1.25)+(AX33*3.75+BA33*1.25))/(4+3+5*4),BE33&lt;&gt;"-",((J33*3+M33*1)+(R33*2.25+U33*0.75)+(Z33*3.75+AC33*1.25)+(AH33*3.75+AK33*1.25)+(AP33*3.75+AS33*1.25)+(BF33*2.5+BI33*2.5))/(4+3+5*4))</f>
        <v>3.088888888888889</v>
      </c>
    </row>
    <row r="34" spans="1:65" x14ac:dyDescent="0.3">
      <c r="A34" s="2">
        <v>133</v>
      </c>
      <c r="B34" s="12">
        <v>793270280067</v>
      </c>
      <c r="C34" s="13">
        <v>12706918</v>
      </c>
      <c r="D34" s="14" t="s">
        <v>99</v>
      </c>
      <c r="E34" t="s">
        <v>64</v>
      </c>
      <c r="F34" s="15">
        <v>59021</v>
      </c>
      <c r="G34" s="3" t="str">
        <f t="shared" si="0"/>
        <v>2061/08/03</v>
      </c>
      <c r="H34" s="3" t="str" cm="1">
        <f t="array" ref="H34">[1]!bs2ad(G34)</f>
        <v>2004-11-18</v>
      </c>
      <c r="I34" s="4">
        <v>58</v>
      </c>
      <c r="J34" s="5" cm="1">
        <f t="array" ref="J34">_xlfn.IFS(I34/75*100&gt;=90,4,I34/75*100&gt;=80,3.6,I34/75*100&gt;=70,3.2,I34/75*100&gt;=60,2.8,I34/75*100&gt;=50,2.4,I34/75*100&gt;=40,2,I34/75*100&gt;=35,1.6,TRUE, 0)</f>
        <v>3.2</v>
      </c>
      <c r="K34" s="5" t="str" cm="1">
        <f t="array" ref="K34">_xlfn.IFS(J34=4,"A+",J34=3.6,"A",J34=3.2,"B+",J34=2.8,"B",J34=2.4,"C+",J34=2,"C",J34=1.6,"D",TRUE,"NG")</f>
        <v>B+</v>
      </c>
      <c r="L34" s="4">
        <v>25</v>
      </c>
      <c r="M34" s="5" cm="1">
        <f t="array" ref="M34">_xlfn.IFS(L34/25*100&gt;=90,4,L34/25*100&gt;=80,3.6,L34/25*100&gt;=70,3.2,L34/25*100&gt;=60,2.8,L34/25*100&gt;=50,2.4,L34/25*100&gt;=40,2,L34/25*100&gt;=35,1.6,TRUE, 0)</f>
        <v>4</v>
      </c>
      <c r="N34" s="5" t="str" cm="1">
        <f t="array" ref="N34">_xlfn.IFS(M34=4,"A+",M34=3.6,"A",M34=3.2,"B+",M34=2.8,"B",M34=2.4,"C+",M34=2,"C",M34=1.6,"D",TRUE,"NG")</f>
        <v>A+</v>
      </c>
      <c r="O34" s="5">
        <f t="shared" si="1"/>
        <v>3.4000000000000004</v>
      </c>
      <c r="P34" s="5" t="str" cm="1">
        <f t="array" ref="P34">_xlfn.IFS(AND(O34&lt;=4,O34&gt;3.6),"A+",AND(O34&lt;=3.6,O34&gt;3.2),"A",AND(O34&lt;=3.2,O34&gt;2.8),"B+",AND(O34&lt;=2.8,O34&gt;2.4),"B",AND(O34&lt;=2.4,O34&gt;2),"C+",AND(O34&lt;=2,O34&gt;1.6),"C",O34=1.6,"D",TRUE,"NG")</f>
        <v>A</v>
      </c>
      <c r="Q34" s="4">
        <v>43</v>
      </c>
      <c r="R34" s="5" cm="1">
        <f t="array" ref="R34">_xlfn.IFS(Q34/75*100&gt;=90,4,Q34/75*100&gt;=80,3.6,Q34/75*100&gt;=70,3.2,Q34/75*100&gt;=60,2.8,Q34/75*100&gt;=50,2.4,Q34/75*100&gt;=40,2,Q34/75*100&gt;=35,1.6,TRUE, 0)</f>
        <v>2.4</v>
      </c>
      <c r="S34" s="5" t="str" cm="1">
        <f t="array" ref="S34">_xlfn.IFS(R34=4,"A+",R34=3.6,"A",R34=3.2,"B+",R34=2.8,"B",R34=2.4,"C+",R34=2,"C",R34=1.6,"D",TRUE,"NG")</f>
        <v>C+</v>
      </c>
      <c r="T34" s="5" cm="1">
        <f t="array" ref="T34">_xlfn.IFS(Q34&gt;=70,25,Q34&gt;=60,24,Q34&gt;=50,23,Q34&gt;=40,22,Q34&gt;=30,21,TRUE,20)</f>
        <v>22</v>
      </c>
      <c r="U34" s="5" cm="1">
        <f t="array" ref="U34">_xlfn.IFS(T34/25*100&gt;=90,4,T34/25*100&gt;=80,3.6,T34/25*100&gt;=70,3.2,T34/25*100&gt;=60,2.8,T34/25*100&gt;=50,2.4,T34/25*100&gt;=40,2,T34/25*100&gt;=35,1.6,TRUE, 0)</f>
        <v>3.6</v>
      </c>
      <c r="V34" s="5" t="str" cm="1">
        <f t="array" ref="V34">_xlfn.IFS(U34=4,"A+",U34=3.6,"A",U34=3.2,"B+",U34=2.8,"B",U34=2.4,"C+",U34=2,"C",U34=1.6,"D",TRUE,"NG")</f>
        <v>A</v>
      </c>
      <c r="W34" s="5">
        <f t="shared" si="8"/>
        <v>2.6999999999999997</v>
      </c>
      <c r="X34" s="5" t="str" cm="1">
        <f t="array" ref="X34">_xlfn.IFS(AND(W34&lt;=4,W34&gt;3.6),"A+",AND(W34&lt;=3.6,W34&gt;3.2),"A",AND(W34&lt;=3.2,W34&gt;2.8),"B+",AND(W34&lt;=2.8,W34&gt;2.4),"B",AND(W34&lt;=2.4,W34&gt;2),"C+",AND(W34&lt;=2,W34&gt;1.6),"C",W34=1.6,"D",TRUE,"NG")</f>
        <v>B</v>
      </c>
      <c r="Y34" s="4">
        <v>62</v>
      </c>
      <c r="Z34" s="5" cm="1">
        <f t="array" ref="Z34">_xlfn.IFS(Y34/75*100&gt;=90,4,Y34/75*100&gt;=80,3.6,Y34/75*100&gt;=70,3.2,Y34/75*100&gt;=60,2.8,Y34/75*100&gt;=50,2.4,Y34/75*100&gt;=40,2,Y34/75*100&gt;=35,1.6,TRUE, 0)</f>
        <v>3.6</v>
      </c>
      <c r="AA34" s="5" t="str" cm="1">
        <f t="array" ref="AA34">_xlfn.IFS(Z34=4,"A+",Z34=3.6,"A",Z34=3.2,"B+",Z34=2.8,"B",Z34=2.4,"C+",Z34=2,"C",Z34=1.6,"D",TRUE,"NG")</f>
        <v>A</v>
      </c>
      <c r="AB34" s="4">
        <v>24</v>
      </c>
      <c r="AC34" s="5" cm="1">
        <f t="array" ref="AC34">_xlfn.IFS(AB34/25*100&gt;=90,4,AB34/25*100&gt;=80,3.6,AB34/25*100&gt;=70,3.2,AB34/25*100&gt;=60,2.8,AB34/25*100&gt;=50,2.4,AB34/25*100&gt;=40,2,AB34/25*100&gt;=35,1.6,TRUE, 0)</f>
        <v>4</v>
      </c>
      <c r="AD34" s="5" t="str" cm="1">
        <f t="array" ref="AD34">_xlfn.IFS(AC34=4,"A+",AC34=3.6,"A",AC34=3.2,"B+",AC34=2.8,"B",AC34=2.4,"C+",AC34=2,"C",AC34=1.6,"D",TRUE,"NG")</f>
        <v>A+</v>
      </c>
      <c r="AE34" s="5">
        <f t="shared" si="9"/>
        <v>3.7</v>
      </c>
      <c r="AF34" s="5" t="str" cm="1">
        <f t="array" ref="AF34">_xlfn.IFS(AND(AE34&lt;=4,AE34&gt;3.6),"A+",AND(AE34&lt;=3.6,AE34&gt;3.2),"A",AND(AE34&lt;=3.2,AE34&gt;2.8),"B+",AND(AE34&lt;=2.8,AE34&gt;2.4),"B",AND(AE34&lt;=2.4,AE34&gt;2),"C+",AND(AE34&lt;=2,AE34&gt;1.6),"C",AE34=1.6,"D",TRUE,"NG")</f>
        <v>A+</v>
      </c>
      <c r="AG34" s="4">
        <v>38</v>
      </c>
      <c r="AH34" s="5" cm="1">
        <f t="array" ref="AH34">_xlfn.IFS(AG34/75*100&gt;=90,4,AG34/75*100&gt;=80,3.6,AG34/75*100&gt;=70,3.2,AG34/75*100&gt;=60,2.8,AG34/75*100&gt;=50,2.4,AG34/75*100&gt;=40,2,AG34/75*100&gt;=35,1.6,TRUE, 0)</f>
        <v>2.4</v>
      </c>
      <c r="AI34" s="5" t="str" cm="1">
        <f t="array" ref="AI34">_xlfn.IFS(AH34=4,"A+",AH34=3.6,"A",AH34=3.2,"B+",AH34=2.8,"B",AH34=2.4,"C+",AH34=2,"C",AH34=1.6,"D",TRUE,"NG")</f>
        <v>C+</v>
      </c>
      <c r="AJ34" s="4">
        <v>23</v>
      </c>
      <c r="AK34" s="5" cm="1">
        <f t="array" ref="AK34">_xlfn.IFS(AJ34/25*100&gt;=90,4,AJ34/25*100&gt;=80,3.6,AJ34/25*100&gt;=70,3.2,AJ34/25*100&gt;=60,2.8,AJ34/25*100&gt;=50,2.4,AJ34/25*100&gt;=40,2,AJ34/25*100&gt;=35,1.6,TRUE, 0)</f>
        <v>4</v>
      </c>
      <c r="AL34" s="5" t="str" cm="1">
        <f t="array" ref="AL34">_xlfn.IFS(AK34=4,"A+",AK34=3.6,"A",AK34=3.2,"B+",AK34=2.8,"B",AK34=2.4,"C+",AK34=2,"C",AK34=1.6,"D",TRUE,"NG")</f>
        <v>A+</v>
      </c>
      <c r="AM34" s="5">
        <f t="shared" si="10"/>
        <v>2.8</v>
      </c>
      <c r="AN34" s="5" t="str" cm="1">
        <f t="array" ref="AN34">_xlfn.IFS(AND(AM34&lt;=4,AM34&gt;3.6),"A+",AND(AM34&lt;=3.6,AM34&gt;3.2),"A",AND(AM34&lt;=3.2,AM34&gt;2.8),"B+",AND(AM34&lt;=2.8,AM34&gt;2.4),"B",AND(AM34&lt;=2.4,AM34&gt;2),"C+",AND(AM34&lt;=2,AM34&gt;1.6),"C",AM34=1.6,"D",TRUE,"NG")</f>
        <v>B</v>
      </c>
      <c r="AO34" s="4">
        <v>57</v>
      </c>
      <c r="AP34" s="5" cm="1">
        <f t="array" ref="AP34">_xlfn.IFS(AO34/75*100&gt;=90,4,AO34/75*100&gt;=80,3.6,AO34/75*100&gt;=70,3.2,AO34/75*100&gt;=60,2.8,AO34/75*100&gt;=50,2.4,AO34/75*100&gt;=40,2,AO34/75*100&gt;=35,1.6,TRUE, 0)</f>
        <v>3.2</v>
      </c>
      <c r="AQ34" s="5" t="str" cm="1">
        <f t="array" ref="AQ34">_xlfn.IFS(AP34=4,"A+",AP34=3.6,"A",AP34=3.2,"B+",AP34=2.8,"B",AP34=2.4,"C+",AP34=2,"C",AP34=1.6,"D",TRUE,"NG")</f>
        <v>B+</v>
      </c>
      <c r="AR34" s="5" cm="1">
        <f t="array" ref="AR34">_xlfn.IFS(AO34&gt;=70,25,AO34&gt;=60,24,AO34&gt;=50,23,AO34&gt;=40,22,AO34&gt;=30,21,TRUE,20)</f>
        <v>23</v>
      </c>
      <c r="AS34" s="5" cm="1">
        <f t="array" ref="AS34">_xlfn.IFS(AR34/25*100&gt;=90,4,AR34/25*100&gt;=80,3.6,AR34/25*100&gt;=70,3.2,AR34/25*100&gt;=60,2.8,AR34/25*100&gt;=50,2.4,AR34/25*100&gt;=40,2,AR34/25*100&gt;=35,1.6,TRUE, 0)</f>
        <v>4</v>
      </c>
      <c r="AT34" s="5" t="str" cm="1">
        <f t="array" ref="AT34">_xlfn.IFS(AS34=4,"A+",AS34=3.6,"A",AS34=3.2,"B+",AS34=2.8,"B",AS34=2.4,"C+",AS34=2,"C",AS34=1.6,"D",TRUE,"NG")</f>
        <v>A+</v>
      </c>
      <c r="AU34" s="5">
        <f t="shared" si="11"/>
        <v>3.4</v>
      </c>
      <c r="AV34" s="5" t="str" cm="1">
        <f t="array" ref="AV34">_xlfn.IFS(AND(AU34&lt;=4,AU34&gt;3.6),"A+",AND(AU34&lt;=3.6,AU34&gt;3.2),"A",AND(AU34&lt;=3.2,AU34&gt;2.8),"B+",AND(AU34&lt;=2.8,AU34&gt;2.4),"B",AND(AU34&lt;=2.4,AU34&gt;2),"C+",AND(AU34&lt;=2,AU34&gt;1.6),"C",AU34=1.6,"D",TRUE,"NG")</f>
        <v>A</v>
      </c>
      <c r="AW34" s="4">
        <v>31</v>
      </c>
      <c r="AX34" s="5" cm="1">
        <f t="array" ref="AX34">_xlfn.IFS(AW34="-","-",AW34/75*100&gt;=90,4,AW34/75*100&gt;=80,3.6,AW34/75*100&gt;=70,3.2,AW34/75*100&gt;=60,2.8,AW34/75*100&gt;=50,2.4,AW34/75*100&gt;=40,2,AW34/75*100&gt;=35,1.6,TRUE, 0)</f>
        <v>2</v>
      </c>
      <c r="AY34" s="5" t="str" cm="1">
        <f t="array" ref="AY34">_xlfn.IFS(AX34="-","-",AX34=4,"A+",AX34=3.6,"A",AX34=3.2,"B+",AX34=2.8,"B",AX34=2.4,"C+",AX34=2,"C",AX34=1.6,"D",TRUE,"NG")</f>
        <v>C</v>
      </c>
      <c r="AZ34" s="4">
        <v>23</v>
      </c>
      <c r="BA34" s="5" cm="1">
        <f t="array" ref="BA34">_xlfn.IFS(AZ34="-","-",AZ34/25*100&gt;=90,4,AZ34/25*100&gt;=80,3.6,AZ34/25*100&gt;=70,3.2,AZ34/25*100&gt;=60,2.8,AZ34/25*100&gt;=50,2.4,AZ34/25*100&gt;=40,2,AZ34/25*100&gt;=35,1.6,TRUE, 0)</f>
        <v>4</v>
      </c>
      <c r="BB34" s="5" t="str" cm="1">
        <f t="array" ref="BB34">_xlfn.IFS(BA34="-","-",BA34=4,"A+",BA34=3.6,"A",BA34=3.2,"B+",BA34=2.8,"B",BA34=2.4,"C+",BA34=2,"C",BA34=1.6,"D",TRUE,"NG")</f>
        <v>A+</v>
      </c>
      <c r="BC34" s="5">
        <f t="shared" si="12"/>
        <v>2.5</v>
      </c>
      <c r="BD34" s="5" t="str" cm="1">
        <f t="array" ref="BD34">_xlfn.IFS(BC34="-","-",AND(BC34&lt;=4,BC34&gt;3.6),"A+",AND(BC34&lt;=3.6,BC34&gt;3.2),"A",AND(BC34&lt;=3.2,BC34&gt;2.8),"B+",AND(BC34&lt;=2.8,BC34&gt;2.4),"B",AND(BC34&lt;=2.4,BC34&gt;2),"C+",AND(BC34&lt;=2,BC34&gt;1.6),"C",BC34=1.6,"D",TRUE,"NG")</f>
        <v>B</v>
      </c>
      <c r="BE34" s="4" t="s">
        <v>63</v>
      </c>
      <c r="BF34" t="str" cm="1">
        <f t="array" ref="BF34">_xlfn.IFS(BE34="-","-",BE34/50*100&gt;=90,4,BE34/50*100&gt;=80,3.6,BE34/50*100&gt;=70,3.2,BE34/50*100&gt;=60,2.8,BE34/50*100&gt;=50,2.4,BE34/50*100&gt;=40,2,BE34/50*100&gt;=35,1.6,TRUE, 0)</f>
        <v>-</v>
      </c>
      <c r="BG34" t="str" cm="1">
        <f t="array" ref="BG34">_xlfn.IFS(BF34="-","-",BF34=4,"A+",BF34=3.6,"A",BF34=3.2,"B+",BF34=2.8,"B",BF34=2.4,"C+",BF34=2,"C",BF34=1.6,"D",TRUE,"NG")</f>
        <v>-</v>
      </c>
      <c r="BH34" s="4" t="s">
        <v>63</v>
      </c>
      <c r="BI34" t="str" cm="1">
        <f t="array" ref="BI34">_xlfn.IFS(BH34="-","-",BH34/50*100&gt;=90,4,BH34/50*100&gt;=80,3.6,BH34/50*100&gt;=70,3.2,BH34/50*100&gt;=60,2.8,BH34/50*100&gt;=50,2.4,BH34/50*100&gt;=40,2,BH34/50*100&gt;=35,1.6,TRUE, 0)</f>
        <v>-</v>
      </c>
      <c r="BJ34" t="str" cm="1">
        <f t="array" ref="BJ34">_xlfn.IFS(BI34="-","-",BI34=4,"A+",BI34=3.6,"A",BI34=3.2,"B+",BI34=2.8,"B",BI34=2.4,"C+",BI34=2,"C",BI34=1.6,"D",TRUE,"NG")</f>
        <v>-</v>
      </c>
      <c r="BK34" t="str">
        <f t="shared" si="13"/>
        <v>-</v>
      </c>
      <c r="BL34" t="str" cm="1">
        <f t="array" ref="BL34">_xlfn.IFS(BK34="-","-",AND(BK34&lt;=4,BK34&gt;3.6),"A+",AND(BK34&lt;=3.6,BK34&gt;3.2),"A",AND(BK34&lt;=3.2,BK34&gt;2.8),"B+",AND(BK34&lt;=2.8,BK34&gt;2.4),"B",AND(BK34&lt;=2.4,BK34&gt;2),"C+",AND(BK34&lt;=2,BK34&gt;1.6),"C",BK34=1.6,"D",TRUE,"NG")</f>
        <v>-</v>
      </c>
      <c r="BM34" s="9" cm="1">
        <f t="array" ref="BM34">_xlfn.IFS(AW34&lt;&gt;"-",((J34*3+M34*1)+(R34*2.25+U34*0.75)+(Z34*3.75+AC34*1.25)+(AH34*3.75+AK34*1.25)+(AP34*3.75+AS34*1.25)+(AX34*3.75+BA34*1.25))/(4+3+5*4),BE34&lt;&gt;"-",((J34*3+M34*1)+(R34*2.25+U34*0.75)+(Z34*3.75+AC34*1.25)+(AH34*3.75+AK34*1.25)+(AP34*3.75+AS34*1.25)+(BF34*2.5+BI34*2.5))/(4+3+5*4))</f>
        <v>3.1</v>
      </c>
    </row>
    <row r="35" spans="1:65" x14ac:dyDescent="0.3">
      <c r="A35" s="2">
        <v>134</v>
      </c>
      <c r="B35" s="12">
        <v>793270280068</v>
      </c>
      <c r="C35" s="13">
        <v>12706919</v>
      </c>
      <c r="D35" s="14" t="s">
        <v>100</v>
      </c>
      <c r="E35" t="s">
        <v>64</v>
      </c>
      <c r="F35" s="15">
        <v>59850</v>
      </c>
      <c r="G35" s="3" t="str">
        <f t="shared" si="0"/>
        <v>2063/11/10</v>
      </c>
      <c r="H35" s="3" t="str" cm="1">
        <f t="array" ref="H35">[1]!bs2ad(G35)</f>
        <v>2007-2-22</v>
      </c>
      <c r="I35" s="4">
        <v>47</v>
      </c>
      <c r="J35" s="5" cm="1">
        <f t="array" ref="J35">_xlfn.IFS(I35/75*100&gt;=90,4,I35/75*100&gt;=80,3.6,I35/75*100&gt;=70,3.2,I35/75*100&gt;=60,2.8,I35/75*100&gt;=50,2.4,I35/75*100&gt;=40,2,I35/75*100&gt;=35,1.6,TRUE, 0)</f>
        <v>2.8</v>
      </c>
      <c r="K35" s="5" t="str" cm="1">
        <f t="array" ref="K35">_xlfn.IFS(J35=4,"A+",J35=3.6,"A",J35=3.2,"B+",J35=2.8,"B",J35=2.4,"C+",J35=2,"C",J35=1.6,"D",TRUE,"NG")</f>
        <v>B</v>
      </c>
      <c r="L35" s="4">
        <v>25</v>
      </c>
      <c r="M35" s="5" cm="1">
        <f t="array" ref="M35">_xlfn.IFS(L35/25*100&gt;=90,4,L35/25*100&gt;=80,3.6,L35/25*100&gt;=70,3.2,L35/25*100&gt;=60,2.8,L35/25*100&gt;=50,2.4,L35/25*100&gt;=40,2,L35/25*100&gt;=35,1.6,TRUE, 0)</f>
        <v>4</v>
      </c>
      <c r="N35" s="5" t="str" cm="1">
        <f t="array" ref="N35">_xlfn.IFS(M35=4,"A+",M35=3.6,"A",M35=3.2,"B+",M35=2.8,"B",M35=2.4,"C+",M35=2,"C",M35=1.6,"D",TRUE,"NG")</f>
        <v>A+</v>
      </c>
      <c r="O35" s="5">
        <f t="shared" si="1"/>
        <v>3.0999999999999996</v>
      </c>
      <c r="P35" s="5" t="str" cm="1">
        <f t="array" ref="P35">_xlfn.IFS(AND(O35&lt;=4,O35&gt;3.6),"A+",AND(O35&lt;=3.6,O35&gt;3.2),"A",AND(O35&lt;=3.2,O35&gt;2.8),"B+",AND(O35&lt;=2.8,O35&gt;2.4),"B",AND(O35&lt;=2.4,O35&gt;2),"C+",AND(O35&lt;=2,O35&gt;1.6),"C",O35=1.6,"D",TRUE,"NG")</f>
        <v>B+</v>
      </c>
      <c r="Q35" s="4">
        <v>36</v>
      </c>
      <c r="R35" s="5" cm="1">
        <f t="array" ref="R35">_xlfn.IFS(Q35/75*100&gt;=90,4,Q35/75*100&gt;=80,3.6,Q35/75*100&gt;=70,3.2,Q35/75*100&gt;=60,2.8,Q35/75*100&gt;=50,2.4,Q35/75*100&gt;=40,2,Q35/75*100&gt;=35,1.6,TRUE, 0)</f>
        <v>2</v>
      </c>
      <c r="S35" s="5" t="str" cm="1">
        <f t="array" ref="S35">_xlfn.IFS(R35=4,"A+",R35=3.6,"A",R35=3.2,"B+",R35=2.8,"B",R35=2.4,"C+",R35=2,"C",R35=1.6,"D",TRUE,"NG")</f>
        <v>C</v>
      </c>
      <c r="T35" s="5" cm="1">
        <f t="array" ref="T35">_xlfn.IFS(Q35&gt;=70,25,Q35&gt;=60,24,Q35&gt;=50,23,Q35&gt;=40,22,Q35&gt;=30,21,TRUE,20)</f>
        <v>21</v>
      </c>
      <c r="U35" s="5" cm="1">
        <f t="array" ref="U35">_xlfn.IFS(T35/25*100&gt;=90,4,T35/25*100&gt;=80,3.6,T35/25*100&gt;=70,3.2,T35/25*100&gt;=60,2.8,T35/25*100&gt;=50,2.4,T35/25*100&gt;=40,2,T35/25*100&gt;=35,1.6,TRUE, 0)</f>
        <v>3.6</v>
      </c>
      <c r="V35" s="5" t="str" cm="1">
        <f t="array" ref="V35">_xlfn.IFS(U35=4,"A+",U35=3.6,"A",U35=3.2,"B+",U35=2.8,"B",U35=2.4,"C+",U35=2,"C",U35=1.6,"D",TRUE,"NG")</f>
        <v>A</v>
      </c>
      <c r="W35" s="5">
        <f t="shared" si="8"/>
        <v>2.4</v>
      </c>
      <c r="X35" s="5" t="str" cm="1">
        <f t="array" ref="X35">_xlfn.IFS(AND(W35&lt;=4,W35&gt;3.6),"A+",AND(W35&lt;=3.6,W35&gt;3.2),"A",AND(W35&lt;=3.2,W35&gt;2.8),"B+",AND(W35&lt;=2.8,W35&gt;2.4),"B",AND(W35&lt;=2.4,W35&gt;2),"C+",AND(W35&lt;=2,W35&gt;1.6),"C",W35=1.6,"D",TRUE,"NG")</f>
        <v>C+</v>
      </c>
      <c r="Y35" s="4">
        <v>38</v>
      </c>
      <c r="Z35" s="5" cm="1">
        <f t="array" ref="Z35">_xlfn.IFS(Y35/75*100&gt;=90,4,Y35/75*100&gt;=80,3.6,Y35/75*100&gt;=70,3.2,Y35/75*100&gt;=60,2.8,Y35/75*100&gt;=50,2.4,Y35/75*100&gt;=40,2,Y35/75*100&gt;=35,1.6,TRUE, 0)</f>
        <v>2.4</v>
      </c>
      <c r="AA35" s="5" t="str" cm="1">
        <f t="array" ref="AA35">_xlfn.IFS(Z35=4,"A+",Z35=3.6,"A",Z35=3.2,"B+",Z35=2.8,"B",Z35=2.4,"C+",Z35=2,"C",Z35=1.6,"D",TRUE,"NG")</f>
        <v>C+</v>
      </c>
      <c r="AB35" s="4">
        <v>22</v>
      </c>
      <c r="AC35" s="5" cm="1">
        <f t="array" ref="AC35">_xlfn.IFS(AB35/25*100&gt;=90,4,AB35/25*100&gt;=80,3.6,AB35/25*100&gt;=70,3.2,AB35/25*100&gt;=60,2.8,AB35/25*100&gt;=50,2.4,AB35/25*100&gt;=40,2,AB35/25*100&gt;=35,1.6,TRUE, 0)</f>
        <v>3.6</v>
      </c>
      <c r="AD35" s="5" t="str" cm="1">
        <f t="array" ref="AD35">_xlfn.IFS(AC35=4,"A+",AC35=3.6,"A",AC35=3.2,"B+",AC35=2.8,"B",AC35=2.4,"C+",AC35=2,"C",AC35=1.6,"D",TRUE,"NG")</f>
        <v>A</v>
      </c>
      <c r="AE35" s="5">
        <f t="shared" si="9"/>
        <v>2.7</v>
      </c>
      <c r="AF35" s="5" t="str" cm="1">
        <f t="array" ref="AF35">_xlfn.IFS(AND(AE35&lt;=4,AE35&gt;3.6),"A+",AND(AE35&lt;=3.6,AE35&gt;3.2),"A",AND(AE35&lt;=3.2,AE35&gt;2.8),"B+",AND(AE35&lt;=2.8,AE35&gt;2.4),"B",AND(AE35&lt;=2.4,AE35&gt;2),"C+",AND(AE35&lt;=2,AE35&gt;1.6),"C",AE35=1.6,"D",TRUE,"NG")</f>
        <v>B</v>
      </c>
      <c r="AG35" s="4">
        <v>20</v>
      </c>
      <c r="AH35" s="5" cm="1">
        <f t="array" ref="AH35">_xlfn.IFS(AG35/75*100&gt;=90,4,AG35/75*100&gt;=80,3.6,AG35/75*100&gt;=70,3.2,AG35/75*100&gt;=60,2.8,AG35/75*100&gt;=50,2.4,AG35/75*100&gt;=40,2,AG35/75*100&gt;=35,1.6,TRUE, 0)</f>
        <v>0</v>
      </c>
      <c r="AI35" s="5" t="str" cm="1">
        <f t="array" ref="AI35">_xlfn.IFS(AH35=4,"A+",AH35=3.6,"A",AH35=3.2,"B+",AH35=2.8,"B",AH35=2.4,"C+",AH35=2,"C",AH35=1.6,"D",TRUE,"NG")</f>
        <v>NG</v>
      </c>
      <c r="AJ35" s="4">
        <v>22</v>
      </c>
      <c r="AK35" s="5" cm="1">
        <f t="array" ref="AK35">_xlfn.IFS(AJ35/25*100&gt;=90,4,AJ35/25*100&gt;=80,3.6,AJ35/25*100&gt;=70,3.2,AJ35/25*100&gt;=60,2.8,AJ35/25*100&gt;=50,2.4,AJ35/25*100&gt;=40,2,AJ35/25*100&gt;=35,1.6,TRUE, 0)</f>
        <v>3.6</v>
      </c>
      <c r="AL35" s="5" t="str" cm="1">
        <f t="array" ref="AL35">_xlfn.IFS(AK35=4,"A+",AK35=3.6,"A",AK35=3.2,"B+",AK35=2.8,"B",AK35=2.4,"C+",AK35=2,"C",AK35=1.6,"D",TRUE,"NG")</f>
        <v>A</v>
      </c>
      <c r="AM35" s="5">
        <f t="shared" si="10"/>
        <v>0.9</v>
      </c>
      <c r="AN35" s="5" t="str" cm="1">
        <f t="array" ref="AN35">_xlfn.IFS(AND(AM35&lt;=4,AM35&gt;3.6),"A+",AND(AM35&lt;=3.6,AM35&gt;3.2),"A",AND(AM35&lt;=3.2,AM35&gt;2.8),"B+",AND(AM35&lt;=2.8,AM35&gt;2.4),"B",AND(AM35&lt;=2.4,AM35&gt;2),"C+",AND(AM35&lt;=2,AM35&gt;1.6),"C",AM35=1.6,"D",TRUE,"NG")</f>
        <v>NG</v>
      </c>
      <c r="AO35" s="4">
        <v>35</v>
      </c>
      <c r="AP35" s="5" cm="1">
        <f t="array" ref="AP35">_xlfn.IFS(AO35/75*100&gt;=90,4,AO35/75*100&gt;=80,3.6,AO35/75*100&gt;=70,3.2,AO35/75*100&gt;=60,2.8,AO35/75*100&gt;=50,2.4,AO35/75*100&gt;=40,2,AO35/75*100&gt;=35,1.6,TRUE, 0)</f>
        <v>2</v>
      </c>
      <c r="AQ35" s="5" t="str" cm="1">
        <f t="array" ref="AQ35">_xlfn.IFS(AP35=4,"A+",AP35=3.6,"A",AP35=3.2,"B+",AP35=2.8,"B",AP35=2.4,"C+",AP35=2,"C",AP35=1.6,"D",TRUE,"NG")</f>
        <v>C</v>
      </c>
      <c r="AR35" s="5" cm="1">
        <f t="array" ref="AR35">_xlfn.IFS(AO35&gt;=70,25,AO35&gt;=60,24,AO35&gt;=50,23,AO35&gt;=40,22,AO35&gt;=30,21,TRUE,20)</f>
        <v>21</v>
      </c>
      <c r="AS35" s="5" cm="1">
        <f t="array" ref="AS35">_xlfn.IFS(AR35/25*100&gt;=90,4,AR35/25*100&gt;=80,3.6,AR35/25*100&gt;=70,3.2,AR35/25*100&gt;=60,2.8,AR35/25*100&gt;=50,2.4,AR35/25*100&gt;=40,2,AR35/25*100&gt;=35,1.6,TRUE, 0)</f>
        <v>3.6</v>
      </c>
      <c r="AT35" s="5" t="str" cm="1">
        <f t="array" ref="AT35">_xlfn.IFS(AS35=4,"A+",AS35=3.6,"A",AS35=3.2,"B+",AS35=2.8,"B",AS35=2.4,"C+",AS35=2,"C",AS35=1.6,"D",TRUE,"NG")</f>
        <v>A</v>
      </c>
      <c r="AU35" s="5">
        <f t="shared" si="11"/>
        <v>2.4</v>
      </c>
      <c r="AV35" s="5" t="str" cm="1">
        <f t="array" ref="AV35">_xlfn.IFS(AND(AU35&lt;=4,AU35&gt;3.6),"A+",AND(AU35&lt;=3.6,AU35&gt;3.2),"A",AND(AU35&lt;=3.2,AU35&gt;2.8),"B+",AND(AU35&lt;=2.8,AU35&gt;2.4),"B",AND(AU35&lt;=2.4,AU35&gt;2),"C+",AND(AU35&lt;=2,AU35&gt;1.6),"C",AU35=1.6,"D",TRUE,"NG")</f>
        <v>C+</v>
      </c>
      <c r="AW35" s="4">
        <v>35</v>
      </c>
      <c r="AX35" s="5" cm="1">
        <f t="array" ref="AX35">_xlfn.IFS(AW35="-","-",AW35/75*100&gt;=90,4,AW35/75*100&gt;=80,3.6,AW35/75*100&gt;=70,3.2,AW35/75*100&gt;=60,2.8,AW35/75*100&gt;=50,2.4,AW35/75*100&gt;=40,2,AW35/75*100&gt;=35,1.6,TRUE, 0)</f>
        <v>2</v>
      </c>
      <c r="AY35" s="5" t="str" cm="1">
        <f t="array" ref="AY35">_xlfn.IFS(AX35="-","-",AX35=4,"A+",AX35=3.6,"A",AX35=3.2,"B+",AX35=2.8,"B",AX35=2.4,"C+",AX35=2,"C",AX35=1.6,"D",TRUE,"NG")</f>
        <v>C</v>
      </c>
      <c r="AZ35" s="4">
        <v>24</v>
      </c>
      <c r="BA35" s="5" cm="1">
        <f t="array" ref="BA35">_xlfn.IFS(AZ35="-","-",AZ35/25*100&gt;=90,4,AZ35/25*100&gt;=80,3.6,AZ35/25*100&gt;=70,3.2,AZ35/25*100&gt;=60,2.8,AZ35/25*100&gt;=50,2.4,AZ35/25*100&gt;=40,2,AZ35/25*100&gt;=35,1.6,TRUE, 0)</f>
        <v>4</v>
      </c>
      <c r="BB35" s="5" t="str" cm="1">
        <f t="array" ref="BB35">_xlfn.IFS(BA35="-","-",BA35=4,"A+",BA35=3.6,"A",BA35=3.2,"B+",BA35=2.8,"B",BA35=2.4,"C+",BA35=2,"C",BA35=1.6,"D",TRUE,"NG")</f>
        <v>A+</v>
      </c>
      <c r="BC35" s="5">
        <f t="shared" si="12"/>
        <v>2.5</v>
      </c>
      <c r="BD35" s="5" t="str" cm="1">
        <f t="array" ref="BD35">_xlfn.IFS(BC35="-","-",AND(BC35&lt;=4,BC35&gt;3.6),"A+",AND(BC35&lt;=3.6,BC35&gt;3.2),"A",AND(BC35&lt;=3.2,BC35&gt;2.8),"B+",AND(BC35&lt;=2.8,BC35&gt;2.4),"B",AND(BC35&lt;=2.4,BC35&gt;2),"C+",AND(BC35&lt;=2,BC35&gt;1.6),"C",BC35=1.6,"D",TRUE,"NG")</f>
        <v>B</v>
      </c>
      <c r="BE35" s="4" t="s">
        <v>63</v>
      </c>
      <c r="BF35" t="str" cm="1">
        <f t="array" ref="BF35">_xlfn.IFS(BE35="-","-",BE35/50*100&gt;=90,4,BE35/50*100&gt;=80,3.6,BE35/50*100&gt;=70,3.2,BE35/50*100&gt;=60,2.8,BE35/50*100&gt;=50,2.4,BE35/50*100&gt;=40,2,BE35/50*100&gt;=35,1.6,TRUE, 0)</f>
        <v>-</v>
      </c>
      <c r="BG35" t="str" cm="1">
        <f t="array" ref="BG35">_xlfn.IFS(BF35="-","-",BF35=4,"A+",BF35=3.6,"A",BF35=3.2,"B+",BF35=2.8,"B",BF35=2.4,"C+",BF35=2,"C",BF35=1.6,"D",TRUE,"NG")</f>
        <v>-</v>
      </c>
      <c r="BH35" s="4" t="s">
        <v>63</v>
      </c>
      <c r="BI35" t="str" cm="1">
        <f t="array" ref="BI35">_xlfn.IFS(BH35="-","-",BH35/50*100&gt;=90,4,BH35/50*100&gt;=80,3.6,BH35/50*100&gt;=70,3.2,BH35/50*100&gt;=60,2.8,BH35/50*100&gt;=50,2.4,BH35/50*100&gt;=40,2,BH35/50*100&gt;=35,1.6,TRUE, 0)</f>
        <v>-</v>
      </c>
      <c r="BJ35" t="str" cm="1">
        <f t="array" ref="BJ35">_xlfn.IFS(BI35="-","-",BI35=4,"A+",BI35=3.6,"A",BI35=3.2,"B+",BI35=2.8,"B",BI35=2.4,"C+",BI35=2,"C",BI35=1.6,"D",TRUE,"NG")</f>
        <v>-</v>
      </c>
      <c r="BK35" t="str">
        <f t="shared" si="13"/>
        <v>-</v>
      </c>
      <c r="BL35" t="str" cm="1">
        <f t="array" ref="BL35">_xlfn.IFS(BK35="-","-",AND(BK35&lt;=4,BK35&gt;3.6),"A+",AND(BK35&lt;=3.6,BK35&gt;3.2),"A",AND(BK35&lt;=3.2,BK35&gt;2.8),"B+",AND(BK35&lt;=2.8,BK35&gt;2.4),"B",AND(BK35&lt;=2.4,BK35&gt;2),"C+",AND(BK35&lt;=2,BK35&gt;1.6),"C",BK35=1.6,"D",TRUE,"NG")</f>
        <v>-</v>
      </c>
      <c r="BM35" s="9" cm="1">
        <f t="array" ref="BM35">_xlfn.IFS(AW35&lt;&gt;"-",((J35*3+M35*1)+(R35*2.25+U35*0.75)+(Z35*3.75+AC35*1.25)+(AH35*3.75+AK35*1.25)+(AP35*3.75+AS35*1.25)+(AX35*3.75+BA35*1.25))/(4+3+5*4),BE35&lt;&gt;"-",((J35*3+M35*1)+(R35*2.25+U35*0.75)+(Z35*3.75+AC35*1.25)+(AH35*3.75+AK35*1.25)+(AP35*3.75+AS35*1.25)+(BF35*2.5+BI35*2.5))/(4+3+5*4))</f>
        <v>2.2999999999999998</v>
      </c>
    </row>
    <row r="36" spans="1:65" x14ac:dyDescent="0.3">
      <c r="A36" s="2">
        <v>135</v>
      </c>
      <c r="B36" s="12">
        <v>793270280071</v>
      </c>
      <c r="C36" s="13">
        <v>12706922</v>
      </c>
      <c r="D36" s="14" t="s">
        <v>101</v>
      </c>
      <c r="E36" t="s">
        <v>62</v>
      </c>
      <c r="F36" s="15">
        <v>58936</v>
      </c>
      <c r="G36" s="3" t="str">
        <f t="shared" si="0"/>
        <v>2061/05/10</v>
      </c>
      <c r="H36" s="3" t="str" cm="1">
        <f t="array" ref="H36">[1]!bs2ad(G36)</f>
        <v>2004-8-26</v>
      </c>
      <c r="I36" s="4">
        <v>53</v>
      </c>
      <c r="J36" s="5" cm="1">
        <f t="array" ref="J36">_xlfn.IFS(I36/75*100&gt;=90,4,I36/75*100&gt;=80,3.6,I36/75*100&gt;=70,3.2,I36/75*100&gt;=60,2.8,I36/75*100&gt;=50,2.4,I36/75*100&gt;=40,2,I36/75*100&gt;=35,1.6,TRUE, 0)</f>
        <v>3.2</v>
      </c>
      <c r="K36" s="5" t="str" cm="1">
        <f t="array" ref="K36">_xlfn.IFS(J36=4,"A+",J36=3.6,"A",J36=3.2,"B+",J36=2.8,"B",J36=2.4,"C+",J36=2,"C",J36=1.6,"D",TRUE,"NG")</f>
        <v>B+</v>
      </c>
      <c r="L36" s="4">
        <v>25</v>
      </c>
      <c r="M36" s="5" cm="1">
        <f t="array" ref="M36">_xlfn.IFS(L36/25*100&gt;=90,4,L36/25*100&gt;=80,3.6,L36/25*100&gt;=70,3.2,L36/25*100&gt;=60,2.8,L36/25*100&gt;=50,2.4,L36/25*100&gt;=40,2,L36/25*100&gt;=35,1.6,TRUE, 0)</f>
        <v>4</v>
      </c>
      <c r="N36" s="5" t="str" cm="1">
        <f t="array" ref="N36">_xlfn.IFS(M36=4,"A+",M36=3.6,"A",M36=3.2,"B+",M36=2.8,"B",M36=2.4,"C+",M36=2,"C",M36=1.6,"D",TRUE,"NG")</f>
        <v>A+</v>
      </c>
      <c r="O36" s="5">
        <f t="shared" si="1"/>
        <v>3.4000000000000004</v>
      </c>
      <c r="P36" s="5" t="str" cm="1">
        <f t="array" ref="P36">_xlfn.IFS(AND(O36&lt;=4,O36&gt;3.6),"A+",AND(O36&lt;=3.6,O36&gt;3.2),"A",AND(O36&lt;=3.2,O36&gt;2.8),"B+",AND(O36&lt;=2.8,O36&gt;2.4),"B",AND(O36&lt;=2.4,O36&gt;2),"C+",AND(O36&lt;=2,O36&gt;1.6),"C",O36=1.6,"D",TRUE,"NG")</f>
        <v>A</v>
      </c>
      <c r="Q36" s="4">
        <v>55</v>
      </c>
      <c r="R36" s="5" cm="1">
        <f t="array" ref="R36">_xlfn.IFS(Q36/75*100&gt;=90,4,Q36/75*100&gt;=80,3.6,Q36/75*100&gt;=70,3.2,Q36/75*100&gt;=60,2.8,Q36/75*100&gt;=50,2.4,Q36/75*100&gt;=40,2,Q36/75*100&gt;=35,1.6,TRUE, 0)</f>
        <v>3.2</v>
      </c>
      <c r="S36" s="5" t="str" cm="1">
        <f t="array" ref="S36">_xlfn.IFS(R36=4,"A+",R36=3.6,"A",R36=3.2,"B+",R36=2.8,"B",R36=2.4,"C+",R36=2,"C",R36=1.6,"D",TRUE,"NG")</f>
        <v>B+</v>
      </c>
      <c r="T36" s="5" cm="1">
        <f t="array" ref="T36">_xlfn.IFS(Q36&gt;=70,25,Q36&gt;=60,24,Q36&gt;=50,23,Q36&gt;=40,22,Q36&gt;=30,21,TRUE,20)</f>
        <v>23</v>
      </c>
      <c r="U36" s="5" cm="1">
        <f t="array" ref="U36">_xlfn.IFS(T36/25*100&gt;=90,4,T36/25*100&gt;=80,3.6,T36/25*100&gt;=70,3.2,T36/25*100&gt;=60,2.8,T36/25*100&gt;=50,2.4,T36/25*100&gt;=40,2,T36/25*100&gt;=35,1.6,TRUE, 0)</f>
        <v>4</v>
      </c>
      <c r="V36" s="5" t="str" cm="1">
        <f t="array" ref="V36">_xlfn.IFS(U36=4,"A+",U36=3.6,"A",U36=3.2,"B+",U36=2.8,"B",U36=2.4,"C+",U36=2,"C",U36=1.6,"D",TRUE,"NG")</f>
        <v>A+</v>
      </c>
      <c r="W36" s="5">
        <f t="shared" si="8"/>
        <v>3.4</v>
      </c>
      <c r="X36" s="5" t="str" cm="1">
        <f t="array" ref="X36">_xlfn.IFS(AND(W36&lt;=4,W36&gt;3.6),"A+",AND(W36&lt;=3.6,W36&gt;3.2),"A",AND(W36&lt;=3.2,W36&gt;2.8),"B+",AND(W36&lt;=2.8,W36&gt;2.4),"B",AND(W36&lt;=2.4,W36&gt;2),"C+",AND(W36&lt;=2,W36&gt;1.6),"C",W36=1.6,"D",TRUE,"NG")</f>
        <v>A</v>
      </c>
      <c r="Y36" s="4">
        <v>58</v>
      </c>
      <c r="Z36" s="5" cm="1">
        <f t="array" ref="Z36">_xlfn.IFS(Y36/75*100&gt;=90,4,Y36/75*100&gt;=80,3.6,Y36/75*100&gt;=70,3.2,Y36/75*100&gt;=60,2.8,Y36/75*100&gt;=50,2.4,Y36/75*100&gt;=40,2,Y36/75*100&gt;=35,1.6,TRUE, 0)</f>
        <v>3.2</v>
      </c>
      <c r="AA36" s="5" t="str" cm="1">
        <f t="array" ref="AA36">_xlfn.IFS(Z36=4,"A+",Z36=3.6,"A",Z36=3.2,"B+",Z36=2.8,"B",Z36=2.4,"C+",Z36=2,"C",Z36=1.6,"D",TRUE,"NG")</f>
        <v>B+</v>
      </c>
      <c r="AB36" s="4">
        <v>23</v>
      </c>
      <c r="AC36" s="5" cm="1">
        <f t="array" ref="AC36">_xlfn.IFS(AB36/25*100&gt;=90,4,AB36/25*100&gt;=80,3.6,AB36/25*100&gt;=70,3.2,AB36/25*100&gt;=60,2.8,AB36/25*100&gt;=50,2.4,AB36/25*100&gt;=40,2,AB36/25*100&gt;=35,1.6,TRUE, 0)</f>
        <v>4</v>
      </c>
      <c r="AD36" s="5" t="str" cm="1">
        <f t="array" ref="AD36">_xlfn.IFS(AC36=4,"A+",AC36=3.6,"A",AC36=3.2,"B+",AC36=2.8,"B",AC36=2.4,"C+",AC36=2,"C",AC36=1.6,"D",TRUE,"NG")</f>
        <v>A+</v>
      </c>
      <c r="AE36" s="5">
        <f t="shared" si="9"/>
        <v>3.4</v>
      </c>
      <c r="AF36" s="5" t="str" cm="1">
        <f t="array" ref="AF36">_xlfn.IFS(AND(AE36&lt;=4,AE36&gt;3.6),"A+",AND(AE36&lt;=3.6,AE36&gt;3.2),"A",AND(AE36&lt;=3.2,AE36&gt;2.8),"B+",AND(AE36&lt;=2.8,AE36&gt;2.4),"B",AND(AE36&lt;=2.4,AE36&gt;2),"C+",AND(AE36&lt;=2,AE36&gt;1.6),"C",AE36=1.6,"D",TRUE,"NG")</f>
        <v>A</v>
      </c>
      <c r="AG36" s="4">
        <v>66</v>
      </c>
      <c r="AH36" s="5" cm="1">
        <f t="array" ref="AH36">_xlfn.IFS(AG36/75*100&gt;=90,4,AG36/75*100&gt;=80,3.6,AG36/75*100&gt;=70,3.2,AG36/75*100&gt;=60,2.8,AG36/75*100&gt;=50,2.4,AG36/75*100&gt;=40,2,AG36/75*100&gt;=35,1.6,TRUE, 0)</f>
        <v>3.6</v>
      </c>
      <c r="AI36" s="5" t="str" cm="1">
        <f t="array" ref="AI36">_xlfn.IFS(AH36=4,"A+",AH36=3.6,"A",AH36=3.2,"B+",AH36=2.8,"B",AH36=2.4,"C+",AH36=2,"C",AH36=1.6,"D",TRUE,"NG")</f>
        <v>A</v>
      </c>
      <c r="AJ36" s="4">
        <v>24</v>
      </c>
      <c r="AK36" s="5" cm="1">
        <f t="array" ref="AK36">_xlfn.IFS(AJ36/25*100&gt;=90,4,AJ36/25*100&gt;=80,3.6,AJ36/25*100&gt;=70,3.2,AJ36/25*100&gt;=60,2.8,AJ36/25*100&gt;=50,2.4,AJ36/25*100&gt;=40,2,AJ36/25*100&gt;=35,1.6,TRUE, 0)</f>
        <v>4</v>
      </c>
      <c r="AL36" s="5" t="str" cm="1">
        <f t="array" ref="AL36">_xlfn.IFS(AK36=4,"A+",AK36=3.6,"A",AK36=3.2,"B+",AK36=2.8,"B",AK36=2.4,"C+",AK36=2,"C",AK36=1.6,"D",TRUE,"NG")</f>
        <v>A+</v>
      </c>
      <c r="AM36" s="5">
        <f t="shared" si="10"/>
        <v>3.7</v>
      </c>
      <c r="AN36" s="5" t="str" cm="1">
        <f t="array" ref="AN36">_xlfn.IFS(AND(AM36&lt;=4,AM36&gt;3.6),"A+",AND(AM36&lt;=3.6,AM36&gt;3.2),"A",AND(AM36&lt;=3.2,AM36&gt;2.8),"B+",AND(AM36&lt;=2.8,AM36&gt;2.4),"B",AND(AM36&lt;=2.4,AM36&gt;2),"C+",AND(AM36&lt;=2,AM36&gt;1.6),"C",AM36=1.6,"D",TRUE,"NG")</f>
        <v>A+</v>
      </c>
      <c r="AO36" s="4">
        <v>61</v>
      </c>
      <c r="AP36" s="5" cm="1">
        <f t="array" ref="AP36">_xlfn.IFS(AO36/75*100&gt;=90,4,AO36/75*100&gt;=80,3.6,AO36/75*100&gt;=70,3.2,AO36/75*100&gt;=60,2.8,AO36/75*100&gt;=50,2.4,AO36/75*100&gt;=40,2,AO36/75*100&gt;=35,1.6,TRUE, 0)</f>
        <v>3.6</v>
      </c>
      <c r="AQ36" s="5" t="str" cm="1">
        <f t="array" ref="AQ36">_xlfn.IFS(AP36=4,"A+",AP36=3.6,"A",AP36=3.2,"B+",AP36=2.8,"B",AP36=2.4,"C+",AP36=2,"C",AP36=1.6,"D",TRUE,"NG")</f>
        <v>A</v>
      </c>
      <c r="AR36" s="5" cm="1">
        <f t="array" ref="AR36">_xlfn.IFS(AO36&gt;=70,25,AO36&gt;=60,24,AO36&gt;=50,23,AO36&gt;=40,22,AO36&gt;=30,21,TRUE,20)</f>
        <v>24</v>
      </c>
      <c r="AS36" s="5" cm="1">
        <f t="array" ref="AS36">_xlfn.IFS(AR36/25*100&gt;=90,4,AR36/25*100&gt;=80,3.6,AR36/25*100&gt;=70,3.2,AR36/25*100&gt;=60,2.8,AR36/25*100&gt;=50,2.4,AR36/25*100&gt;=40,2,AR36/25*100&gt;=35,1.6,TRUE, 0)</f>
        <v>4</v>
      </c>
      <c r="AT36" s="5" t="str" cm="1">
        <f t="array" ref="AT36">_xlfn.IFS(AS36=4,"A+",AS36=3.6,"A",AS36=3.2,"B+",AS36=2.8,"B",AS36=2.4,"C+",AS36=2,"C",AS36=1.6,"D",TRUE,"NG")</f>
        <v>A+</v>
      </c>
      <c r="AU36" s="5">
        <f t="shared" si="11"/>
        <v>3.7</v>
      </c>
      <c r="AV36" s="5" t="str" cm="1">
        <f t="array" ref="AV36">_xlfn.IFS(AND(AU36&lt;=4,AU36&gt;3.6),"A+",AND(AU36&lt;=3.6,AU36&gt;3.2),"A",AND(AU36&lt;=3.2,AU36&gt;2.8),"B+",AND(AU36&lt;=2.8,AU36&gt;2.4),"B",AND(AU36&lt;=2.4,AU36&gt;2),"C+",AND(AU36&lt;=2,AU36&gt;1.6),"C",AU36=1.6,"D",TRUE,"NG")</f>
        <v>A+</v>
      </c>
      <c r="AW36" s="4" t="s">
        <v>63</v>
      </c>
      <c r="AX36" s="5" t="str" cm="1">
        <f t="array" ref="AX36">_xlfn.IFS(AW36="-","-",AW36/75*100&gt;=90,4,AW36/75*100&gt;=80,3.6,AW36/75*100&gt;=70,3.2,AW36/75*100&gt;=60,2.8,AW36/75*100&gt;=50,2.4,AW36/75*100&gt;=40,2,AW36/75*100&gt;=35,1.6,TRUE, 0)</f>
        <v>-</v>
      </c>
      <c r="AY36" s="5" t="str" cm="1">
        <f t="array" ref="AY36">_xlfn.IFS(AX36="-","-",AX36=4,"A+",AX36=3.6,"A",AX36=3.2,"B+",AX36=2.8,"B",AX36=2.4,"C+",AX36=2,"C",AX36=1.6,"D",TRUE,"NG")</f>
        <v>-</v>
      </c>
      <c r="AZ36" s="4" t="s">
        <v>63</v>
      </c>
      <c r="BA36" s="5" t="str" cm="1">
        <f t="array" ref="BA36">_xlfn.IFS(AZ36="-","-",AZ36/25*100&gt;=90,4,AZ36/25*100&gt;=80,3.6,AZ36/25*100&gt;=70,3.2,AZ36/25*100&gt;=60,2.8,AZ36/25*100&gt;=50,2.4,AZ36/25*100&gt;=40,2,AZ36/25*100&gt;=35,1.6,TRUE, 0)</f>
        <v>-</v>
      </c>
      <c r="BB36" s="5" t="str" cm="1">
        <f t="array" ref="BB36">_xlfn.IFS(BA36="-","-",BA36=4,"A+",BA36=3.6,"A",BA36=3.2,"B+",BA36=2.8,"B",BA36=2.4,"C+",BA36=2,"C",BA36=1.6,"D",TRUE,"NG")</f>
        <v>-</v>
      </c>
      <c r="BC36" s="5" t="str">
        <f t="shared" si="12"/>
        <v>-</v>
      </c>
      <c r="BD36" s="5" t="str" cm="1">
        <f t="array" ref="BD36">_xlfn.IFS(BC36="-","-",AND(BC36&lt;=4,BC36&gt;3.6),"A+",AND(BC36&lt;=3.6,BC36&gt;3.2),"A",AND(BC36&lt;=3.2,BC36&gt;2.8),"B+",AND(BC36&lt;=2.8,BC36&gt;2.4),"B",AND(BC36&lt;=2.4,BC36&gt;2),"C+",AND(BC36&lt;=2,BC36&gt;1.6),"C",BC36=1.6,"D",TRUE,"NG")</f>
        <v>-</v>
      </c>
      <c r="BE36" s="4">
        <v>46</v>
      </c>
      <c r="BF36" cm="1">
        <f t="array" ref="BF36">_xlfn.IFS(BE36="-","-",BE36/50*100&gt;=90,4,BE36/50*100&gt;=80,3.6,BE36/50*100&gt;=70,3.2,BE36/50*100&gt;=60,2.8,BE36/50*100&gt;=50,2.4,BE36/50*100&gt;=40,2,BE36/50*100&gt;=35,1.6,TRUE, 0)</f>
        <v>4</v>
      </c>
      <c r="BG36" t="str" cm="1">
        <f t="array" ref="BG36">_xlfn.IFS(BF36="-","-",BF36=4,"A+",BF36=3.6,"A",BF36=3.2,"B+",BF36=2.8,"B",BF36=2.4,"C+",BF36=2,"C",BF36=1.6,"D",TRUE,"NG")</f>
        <v>A+</v>
      </c>
      <c r="BH36" s="4">
        <v>46</v>
      </c>
      <c r="BI36" cm="1">
        <f t="array" ref="BI36">_xlfn.IFS(BH36="-","-",BH36/50*100&gt;=90,4,BH36/50*100&gt;=80,3.6,BH36/50*100&gt;=70,3.2,BH36/50*100&gt;=60,2.8,BH36/50*100&gt;=50,2.4,BH36/50*100&gt;=40,2,BH36/50*100&gt;=35,1.6,TRUE, 0)</f>
        <v>4</v>
      </c>
      <c r="BJ36" t="str" cm="1">
        <f t="array" ref="BJ36">_xlfn.IFS(BI36="-","-",BI36=4,"A+",BI36=3.6,"A",BI36=3.2,"B+",BI36=2.8,"B",BI36=2.4,"C+",BI36=2,"C",BI36=1.6,"D",TRUE,"NG")</f>
        <v>A+</v>
      </c>
      <c r="BK36">
        <f t="shared" si="13"/>
        <v>4</v>
      </c>
      <c r="BL36" t="str" cm="1">
        <f t="array" ref="BL36">_xlfn.IFS(BK36="-","-",AND(BK36&lt;=4,BK36&gt;3.6),"A+",AND(BK36&lt;=3.6,BK36&gt;3.2),"A",AND(BK36&lt;=3.2,BK36&gt;2.8),"B+",AND(BK36&lt;=2.8,BK36&gt;2.4),"B",AND(BK36&lt;=2.4,BK36&gt;2),"C+",AND(BK36&lt;=2,BK36&gt;1.6),"C",BK36=1.6,"D",TRUE,"NG")</f>
        <v>A+</v>
      </c>
      <c r="BM36" s="9" cm="1">
        <f t="array" ref="BM36">_xlfn.IFS(AW36&lt;&gt;"-",((J36*3+M36*1)+(R36*2.25+U36*0.75)+(Z36*3.75+AC36*1.25)+(AH36*3.75+AK36*1.25)+(AP36*3.75+AS36*1.25)+(AX36*3.75+BA36*1.25))/(4+3+5*4),BE36&lt;&gt;"-",((J36*3+M36*1)+(R36*2.25+U36*0.75)+(Z36*3.75+AC36*1.25)+(AH36*3.75+AK36*1.25)+(AP36*3.75+AS36*1.25)+(BF36*2.5+BI36*2.5))/(4+3+5*4))</f>
        <v>3.6222222222222222</v>
      </c>
    </row>
    <row r="37" spans="1:65" x14ac:dyDescent="0.3">
      <c r="A37" s="2">
        <v>136</v>
      </c>
      <c r="B37" s="12">
        <v>793270280074</v>
      </c>
      <c r="C37" s="13">
        <v>12706925</v>
      </c>
      <c r="D37" s="14" t="s">
        <v>102</v>
      </c>
      <c r="E37" t="s">
        <v>64</v>
      </c>
      <c r="F37" s="15">
        <v>58694</v>
      </c>
      <c r="G37" s="3" t="str">
        <f t="shared" si="0"/>
        <v>2060/09/10</v>
      </c>
      <c r="H37" s="3" t="str" cm="1">
        <f t="array" ref="H37">[1]!bs2ad(G37)</f>
        <v>2003-12-25</v>
      </c>
      <c r="I37" s="4">
        <v>53</v>
      </c>
      <c r="J37" s="5" cm="1">
        <f t="array" ref="J37">_xlfn.IFS(I37/75*100&gt;=90,4,I37/75*100&gt;=80,3.6,I37/75*100&gt;=70,3.2,I37/75*100&gt;=60,2.8,I37/75*100&gt;=50,2.4,I37/75*100&gt;=40,2,I37/75*100&gt;=35,1.6,TRUE, 0)</f>
        <v>3.2</v>
      </c>
      <c r="K37" s="5" t="str" cm="1">
        <f t="array" ref="K37">_xlfn.IFS(J37=4,"A+",J37=3.6,"A",J37=3.2,"B+",J37=2.8,"B",J37=2.4,"C+",J37=2,"C",J37=1.6,"D",TRUE,"NG")</f>
        <v>B+</v>
      </c>
      <c r="L37" s="4">
        <v>20</v>
      </c>
      <c r="M37" s="5" cm="1">
        <f t="array" ref="M37">_xlfn.IFS(L37/25*100&gt;=90,4,L37/25*100&gt;=80,3.6,L37/25*100&gt;=70,3.2,L37/25*100&gt;=60,2.8,L37/25*100&gt;=50,2.4,L37/25*100&gt;=40,2,L37/25*100&gt;=35,1.6,TRUE, 0)</f>
        <v>3.6</v>
      </c>
      <c r="N37" s="5" t="str" cm="1">
        <f t="array" ref="N37">_xlfn.IFS(M37=4,"A+",M37=3.6,"A",M37=3.2,"B+",M37=2.8,"B",M37=2.4,"C+",M37=2,"C",M37=1.6,"D",TRUE,"NG")</f>
        <v>A</v>
      </c>
      <c r="O37" s="5">
        <f t="shared" si="1"/>
        <v>3.3000000000000003</v>
      </c>
      <c r="P37" s="5" t="str" cm="1">
        <f t="array" ref="P37">_xlfn.IFS(AND(O37&lt;=4,O37&gt;3.6),"A+",AND(O37&lt;=3.6,O37&gt;3.2),"A",AND(O37&lt;=3.2,O37&gt;2.8),"B+",AND(O37&lt;=2.8,O37&gt;2.4),"B",AND(O37&lt;=2.4,O37&gt;2),"C+",AND(O37&lt;=2,O37&gt;1.6),"C",O37=1.6,"D",TRUE,"NG")</f>
        <v>A</v>
      </c>
      <c r="Q37" s="4">
        <v>52</v>
      </c>
      <c r="R37" s="5" cm="1">
        <f t="array" ref="R37">_xlfn.IFS(Q37/75*100&gt;=90,4,Q37/75*100&gt;=80,3.6,Q37/75*100&gt;=70,3.2,Q37/75*100&gt;=60,2.8,Q37/75*100&gt;=50,2.4,Q37/75*100&gt;=40,2,Q37/75*100&gt;=35,1.6,TRUE, 0)</f>
        <v>2.8</v>
      </c>
      <c r="S37" s="5" t="str" cm="1">
        <f t="array" ref="S37">_xlfn.IFS(R37=4,"A+",R37=3.6,"A",R37=3.2,"B+",R37=2.8,"B",R37=2.4,"C+",R37=2,"C",R37=1.6,"D",TRUE,"NG")</f>
        <v>B</v>
      </c>
      <c r="T37" s="5" cm="1">
        <f t="array" ref="T37">_xlfn.IFS(Q37&gt;=70,25,Q37&gt;=60,24,Q37&gt;=50,23,Q37&gt;=40,22,Q37&gt;=30,21,TRUE,20)</f>
        <v>23</v>
      </c>
      <c r="U37" s="5" cm="1">
        <f t="array" ref="U37">_xlfn.IFS(T37/25*100&gt;=90,4,T37/25*100&gt;=80,3.6,T37/25*100&gt;=70,3.2,T37/25*100&gt;=60,2.8,T37/25*100&gt;=50,2.4,T37/25*100&gt;=40,2,T37/25*100&gt;=35,1.6,TRUE, 0)</f>
        <v>4</v>
      </c>
      <c r="V37" s="5" t="str" cm="1">
        <f t="array" ref="V37">_xlfn.IFS(U37=4,"A+",U37=3.6,"A",U37=3.2,"B+",U37=2.8,"B",U37=2.4,"C+",U37=2,"C",U37=1.6,"D",TRUE,"NG")</f>
        <v>A+</v>
      </c>
      <c r="W37" s="5">
        <f t="shared" si="8"/>
        <v>3.1</v>
      </c>
      <c r="X37" s="5" t="str" cm="1">
        <f t="array" ref="X37">_xlfn.IFS(AND(W37&lt;=4,W37&gt;3.6),"A+",AND(W37&lt;=3.6,W37&gt;3.2),"A",AND(W37&lt;=3.2,W37&gt;2.8),"B+",AND(W37&lt;=2.8,W37&gt;2.4),"B",AND(W37&lt;=2.4,W37&gt;2),"C+",AND(W37&lt;=2,W37&gt;1.6),"C",W37=1.6,"D",TRUE,"NG")</f>
        <v>B+</v>
      </c>
      <c r="Y37" s="4">
        <v>52</v>
      </c>
      <c r="Z37" s="5" cm="1">
        <f t="array" ref="Z37">_xlfn.IFS(Y37/75*100&gt;=90,4,Y37/75*100&gt;=80,3.6,Y37/75*100&gt;=70,3.2,Y37/75*100&gt;=60,2.8,Y37/75*100&gt;=50,2.4,Y37/75*100&gt;=40,2,Y37/75*100&gt;=35,1.6,TRUE, 0)</f>
        <v>2.8</v>
      </c>
      <c r="AA37" s="5" t="str" cm="1">
        <f t="array" ref="AA37">_xlfn.IFS(Z37=4,"A+",Z37=3.6,"A",Z37=3.2,"B+",Z37=2.8,"B",Z37=2.4,"C+",Z37=2,"C",Z37=1.6,"D",TRUE,"NG")</f>
        <v>B</v>
      </c>
      <c r="AB37" s="4">
        <v>23</v>
      </c>
      <c r="AC37" s="5" cm="1">
        <f t="array" ref="AC37">_xlfn.IFS(AB37/25*100&gt;=90,4,AB37/25*100&gt;=80,3.6,AB37/25*100&gt;=70,3.2,AB37/25*100&gt;=60,2.8,AB37/25*100&gt;=50,2.4,AB37/25*100&gt;=40,2,AB37/25*100&gt;=35,1.6,TRUE, 0)</f>
        <v>4</v>
      </c>
      <c r="AD37" s="5" t="str" cm="1">
        <f t="array" ref="AD37">_xlfn.IFS(AC37=4,"A+",AC37=3.6,"A",AC37=3.2,"B+",AC37=2.8,"B",AC37=2.4,"C+",AC37=2,"C",AC37=1.6,"D",TRUE,"NG")</f>
        <v>A+</v>
      </c>
      <c r="AE37" s="5">
        <f t="shared" si="9"/>
        <v>3.1</v>
      </c>
      <c r="AF37" s="5" t="str" cm="1">
        <f t="array" ref="AF37">_xlfn.IFS(AND(AE37&lt;=4,AE37&gt;3.6),"A+",AND(AE37&lt;=3.6,AE37&gt;3.2),"A",AND(AE37&lt;=3.2,AE37&gt;2.8),"B+",AND(AE37&lt;=2.8,AE37&gt;2.4),"B",AND(AE37&lt;=2.4,AE37&gt;2),"C+",AND(AE37&lt;=2,AE37&gt;1.6),"C",AE37=1.6,"D",TRUE,"NG")</f>
        <v>B+</v>
      </c>
      <c r="AG37" s="4">
        <v>65</v>
      </c>
      <c r="AH37" s="5" cm="1">
        <f t="array" ref="AH37">_xlfn.IFS(AG37/75*100&gt;=90,4,AG37/75*100&gt;=80,3.6,AG37/75*100&gt;=70,3.2,AG37/75*100&gt;=60,2.8,AG37/75*100&gt;=50,2.4,AG37/75*100&gt;=40,2,AG37/75*100&gt;=35,1.6,TRUE, 0)</f>
        <v>3.6</v>
      </c>
      <c r="AI37" s="5" t="str" cm="1">
        <f t="array" ref="AI37">_xlfn.IFS(AH37=4,"A+",AH37=3.6,"A",AH37=3.2,"B+",AH37=2.8,"B",AH37=2.4,"C+",AH37=2,"C",AH37=1.6,"D",TRUE,"NG")</f>
        <v>A</v>
      </c>
      <c r="AJ37" s="4">
        <v>23</v>
      </c>
      <c r="AK37" s="5" cm="1">
        <f t="array" ref="AK37">_xlfn.IFS(AJ37/25*100&gt;=90,4,AJ37/25*100&gt;=80,3.6,AJ37/25*100&gt;=70,3.2,AJ37/25*100&gt;=60,2.8,AJ37/25*100&gt;=50,2.4,AJ37/25*100&gt;=40,2,AJ37/25*100&gt;=35,1.6,TRUE, 0)</f>
        <v>4</v>
      </c>
      <c r="AL37" s="5" t="str" cm="1">
        <f t="array" ref="AL37">_xlfn.IFS(AK37=4,"A+",AK37=3.6,"A",AK37=3.2,"B+",AK37=2.8,"B",AK37=2.4,"C+",AK37=2,"C",AK37=1.6,"D",TRUE,"NG")</f>
        <v>A+</v>
      </c>
      <c r="AM37" s="5">
        <f t="shared" si="10"/>
        <v>3.7</v>
      </c>
      <c r="AN37" s="5" t="str" cm="1">
        <f t="array" ref="AN37">_xlfn.IFS(AND(AM37&lt;=4,AM37&gt;3.6),"A+",AND(AM37&lt;=3.6,AM37&gt;3.2),"A",AND(AM37&lt;=3.2,AM37&gt;2.8),"B+",AND(AM37&lt;=2.8,AM37&gt;2.4),"B",AND(AM37&lt;=2.4,AM37&gt;2),"C+",AND(AM37&lt;=2,AM37&gt;1.6),"C",AM37=1.6,"D",TRUE,"NG")</f>
        <v>A+</v>
      </c>
      <c r="AO37" s="4">
        <v>68</v>
      </c>
      <c r="AP37" s="5" cm="1">
        <f t="array" ref="AP37">_xlfn.IFS(AO37/75*100&gt;=90,4,AO37/75*100&gt;=80,3.6,AO37/75*100&gt;=70,3.2,AO37/75*100&gt;=60,2.8,AO37/75*100&gt;=50,2.4,AO37/75*100&gt;=40,2,AO37/75*100&gt;=35,1.6,TRUE, 0)</f>
        <v>4</v>
      </c>
      <c r="AQ37" s="5" t="str" cm="1">
        <f t="array" ref="AQ37">_xlfn.IFS(AP37=4,"A+",AP37=3.6,"A",AP37=3.2,"B+",AP37=2.8,"B",AP37=2.4,"C+",AP37=2,"C",AP37=1.6,"D",TRUE,"NG")</f>
        <v>A+</v>
      </c>
      <c r="AR37" s="5" cm="1">
        <f t="array" ref="AR37">_xlfn.IFS(AO37&gt;=70,25,AO37&gt;=60,24,AO37&gt;=50,23,AO37&gt;=40,22,AO37&gt;=30,21,TRUE,20)</f>
        <v>24</v>
      </c>
      <c r="AS37" s="5" cm="1">
        <f t="array" ref="AS37">_xlfn.IFS(AR37/25*100&gt;=90,4,AR37/25*100&gt;=80,3.6,AR37/25*100&gt;=70,3.2,AR37/25*100&gt;=60,2.8,AR37/25*100&gt;=50,2.4,AR37/25*100&gt;=40,2,AR37/25*100&gt;=35,1.6,TRUE, 0)</f>
        <v>4</v>
      </c>
      <c r="AT37" s="5" t="str" cm="1">
        <f t="array" ref="AT37">_xlfn.IFS(AS37=4,"A+",AS37=3.6,"A",AS37=3.2,"B+",AS37=2.8,"B",AS37=2.4,"C+",AS37=2,"C",AS37=1.6,"D",TRUE,"NG")</f>
        <v>A+</v>
      </c>
      <c r="AU37" s="5">
        <f t="shared" si="11"/>
        <v>4</v>
      </c>
      <c r="AV37" s="5" t="str" cm="1">
        <f t="array" ref="AV37">_xlfn.IFS(AND(AU37&lt;=4,AU37&gt;3.6),"A+",AND(AU37&lt;=3.6,AU37&gt;3.2),"A",AND(AU37&lt;=3.2,AU37&gt;2.8),"B+",AND(AU37&lt;=2.8,AU37&gt;2.4),"B",AND(AU37&lt;=2.4,AU37&gt;2),"C+",AND(AU37&lt;=2,AU37&gt;1.6),"C",AU37=1.6,"D",TRUE,"NG")</f>
        <v>A+</v>
      </c>
      <c r="AW37" s="4">
        <v>38</v>
      </c>
      <c r="AX37" s="5" cm="1">
        <f t="array" ref="AX37">_xlfn.IFS(AW37="-","-",AW37/75*100&gt;=90,4,AW37/75*100&gt;=80,3.6,AW37/75*100&gt;=70,3.2,AW37/75*100&gt;=60,2.8,AW37/75*100&gt;=50,2.4,AW37/75*100&gt;=40,2,AW37/75*100&gt;=35,1.6,TRUE, 0)</f>
        <v>2.4</v>
      </c>
      <c r="AY37" s="5" t="str" cm="1">
        <f t="array" ref="AY37">_xlfn.IFS(AX37="-","-",AX37=4,"A+",AX37=3.6,"A",AX37=3.2,"B+",AX37=2.8,"B",AX37=2.4,"C+",AX37=2,"C",AX37=1.6,"D",TRUE,"NG")</f>
        <v>C+</v>
      </c>
      <c r="AZ37" s="4">
        <v>22</v>
      </c>
      <c r="BA37" s="5" cm="1">
        <f t="array" ref="BA37">_xlfn.IFS(AZ37="-","-",AZ37/25*100&gt;=90,4,AZ37/25*100&gt;=80,3.6,AZ37/25*100&gt;=70,3.2,AZ37/25*100&gt;=60,2.8,AZ37/25*100&gt;=50,2.4,AZ37/25*100&gt;=40,2,AZ37/25*100&gt;=35,1.6,TRUE, 0)</f>
        <v>3.6</v>
      </c>
      <c r="BB37" s="5" t="str" cm="1">
        <f t="array" ref="BB37">_xlfn.IFS(BA37="-","-",BA37=4,"A+",BA37=3.6,"A",BA37=3.2,"B+",BA37=2.8,"B",BA37=2.4,"C+",BA37=2,"C",BA37=1.6,"D",TRUE,"NG")</f>
        <v>A</v>
      </c>
      <c r="BC37" s="5">
        <f t="shared" si="12"/>
        <v>2.7</v>
      </c>
      <c r="BD37" s="5" t="str" cm="1">
        <f t="array" ref="BD37">_xlfn.IFS(BC37="-","-",AND(BC37&lt;=4,BC37&gt;3.6),"A+",AND(BC37&lt;=3.6,BC37&gt;3.2),"A",AND(BC37&lt;=3.2,BC37&gt;2.8),"B+",AND(BC37&lt;=2.8,BC37&gt;2.4),"B",AND(BC37&lt;=2.4,BC37&gt;2),"C+",AND(BC37&lt;=2,BC37&gt;1.6),"C",BC37=1.6,"D",TRUE,"NG")</f>
        <v>B</v>
      </c>
      <c r="BE37" s="4" t="s">
        <v>63</v>
      </c>
      <c r="BF37" t="str" cm="1">
        <f t="array" ref="BF37">_xlfn.IFS(BE37="-","-",BE37/50*100&gt;=90,4,BE37/50*100&gt;=80,3.6,BE37/50*100&gt;=70,3.2,BE37/50*100&gt;=60,2.8,BE37/50*100&gt;=50,2.4,BE37/50*100&gt;=40,2,BE37/50*100&gt;=35,1.6,TRUE, 0)</f>
        <v>-</v>
      </c>
      <c r="BG37" t="str" cm="1">
        <f t="array" ref="BG37">_xlfn.IFS(BF37="-","-",BF37=4,"A+",BF37=3.6,"A",BF37=3.2,"B+",BF37=2.8,"B",BF37=2.4,"C+",BF37=2,"C",BF37=1.6,"D",TRUE,"NG")</f>
        <v>-</v>
      </c>
      <c r="BH37" s="4" t="s">
        <v>63</v>
      </c>
      <c r="BI37" t="str" cm="1">
        <f t="array" ref="BI37">_xlfn.IFS(BH37="-","-",BH37/50*100&gt;=90,4,BH37/50*100&gt;=80,3.6,BH37/50*100&gt;=70,3.2,BH37/50*100&gt;=60,2.8,BH37/50*100&gt;=50,2.4,BH37/50*100&gt;=40,2,BH37/50*100&gt;=35,1.6,TRUE, 0)</f>
        <v>-</v>
      </c>
      <c r="BJ37" t="str" cm="1">
        <f t="array" ref="BJ37">_xlfn.IFS(BI37="-","-",BI37=4,"A+",BI37=3.6,"A",BI37=3.2,"B+",BI37=2.8,"B",BI37=2.4,"C+",BI37=2,"C",BI37=1.6,"D",TRUE,"NG")</f>
        <v>-</v>
      </c>
      <c r="BK37" t="str">
        <f t="shared" si="13"/>
        <v>-</v>
      </c>
      <c r="BL37" t="str" cm="1">
        <f t="array" ref="BL37">_xlfn.IFS(BK37="-","-",AND(BK37&lt;=4,BK37&gt;3.6),"A+",AND(BK37&lt;=3.6,BK37&gt;3.2),"A",AND(BK37&lt;=3.2,BK37&gt;2.8),"B+",AND(BK37&lt;=2.8,BK37&gt;2.4),"B",AND(BK37&lt;=2.4,BK37&gt;2),"C+",AND(BK37&lt;=2,BK37&gt;1.6),"C",BK37=1.6,"D",TRUE,"NG")</f>
        <v>-</v>
      </c>
      <c r="BM37" s="9" cm="1">
        <f t="array" ref="BM37">_xlfn.IFS(AW37&lt;&gt;"-",((J37*3+M37*1)+(R37*2.25+U37*0.75)+(Z37*3.75+AC37*1.25)+(AH37*3.75+AK37*1.25)+(AP37*3.75+AS37*1.25)+(AX37*3.75+BA37*1.25))/(4+3+5*4),BE37&lt;&gt;"-",((J37*3+M37*1)+(R37*2.25+U37*0.75)+(Z37*3.75+AC37*1.25)+(AH37*3.75+AK37*1.25)+(AP37*3.75+AS37*1.25)+(BF37*2.5+BI37*2.5))/(4+3+5*4))</f>
        <v>3.3333333333333335</v>
      </c>
    </row>
    <row r="38" spans="1:65" x14ac:dyDescent="0.3">
      <c r="A38" s="2">
        <v>137</v>
      </c>
      <c r="B38" s="12">
        <v>793270280006</v>
      </c>
      <c r="C38" s="13">
        <v>12706857</v>
      </c>
      <c r="D38" s="14" t="s">
        <v>103</v>
      </c>
      <c r="E38" t="s">
        <v>64</v>
      </c>
      <c r="F38" s="15">
        <v>58896</v>
      </c>
      <c r="G38" s="3" t="str">
        <f t="shared" si="0"/>
        <v>2061/03/31</v>
      </c>
      <c r="H38" s="3" t="str" cm="1">
        <f t="array" ref="H38">[1]!bs2ad(G38)</f>
        <v>2004-7-15</v>
      </c>
      <c r="I38" s="4">
        <v>63</v>
      </c>
      <c r="J38" s="5" cm="1">
        <f t="array" ref="J38">_xlfn.IFS(I38/75*100&gt;=90,4,I38/75*100&gt;=80,3.6,I38/75*100&gt;=70,3.2,I38/75*100&gt;=60,2.8,I38/75*100&gt;=50,2.4,I38/75*100&gt;=40,2,I38/75*100&gt;=35,1.6,TRUE, 0)</f>
        <v>3.6</v>
      </c>
      <c r="K38" s="5" t="str" cm="1">
        <f t="array" ref="K38">_xlfn.IFS(J38=4,"A+",J38=3.6,"A",J38=3.2,"B+",J38=2.8,"B",J38=2.4,"C+",J38=2,"C",J38=1.6,"D",TRUE,"NG")</f>
        <v>A</v>
      </c>
      <c r="L38" s="4">
        <v>25</v>
      </c>
      <c r="M38" s="5" cm="1">
        <f t="array" ref="M38">_xlfn.IFS(L38/25*100&gt;=90,4,L38/25*100&gt;=80,3.6,L38/25*100&gt;=70,3.2,L38/25*100&gt;=60,2.8,L38/25*100&gt;=50,2.4,L38/25*100&gt;=40,2,L38/25*100&gt;=35,1.6,TRUE, 0)</f>
        <v>4</v>
      </c>
      <c r="N38" s="5" t="str" cm="1">
        <f t="array" ref="N38">_xlfn.IFS(M38=4,"A+",M38=3.6,"A",M38=3.2,"B+",M38=2.8,"B",M38=2.4,"C+",M38=2,"C",M38=1.6,"D",TRUE,"NG")</f>
        <v>A+</v>
      </c>
      <c r="O38" s="5">
        <f t="shared" si="1"/>
        <v>3.7</v>
      </c>
      <c r="P38" s="5" t="str" cm="1">
        <f t="array" ref="P38">_xlfn.IFS(AND(O38&lt;=4,O38&gt;3.6),"A+",AND(O38&lt;=3.6,O38&gt;3.2),"A",AND(O38&lt;=3.2,O38&gt;2.8),"B+",AND(O38&lt;=2.8,O38&gt;2.4),"B",AND(O38&lt;=2.4,O38&gt;2),"C+",AND(O38&lt;=2,O38&gt;1.6),"C",O38=1.6,"D",TRUE,"NG")</f>
        <v>A+</v>
      </c>
      <c r="Q38" s="4">
        <v>57</v>
      </c>
      <c r="R38" s="5" cm="1">
        <f t="array" ref="R38">_xlfn.IFS(Q38/75*100&gt;=90,4,Q38/75*100&gt;=80,3.6,Q38/75*100&gt;=70,3.2,Q38/75*100&gt;=60,2.8,Q38/75*100&gt;=50,2.4,Q38/75*100&gt;=40,2,Q38/75*100&gt;=35,1.6,TRUE, 0)</f>
        <v>3.2</v>
      </c>
      <c r="S38" s="5" t="str" cm="1">
        <f t="array" ref="S38">_xlfn.IFS(R38=4,"A+",R38=3.6,"A",R38=3.2,"B+",R38=2.8,"B",R38=2.4,"C+",R38=2,"C",R38=1.6,"D",TRUE,"NG")</f>
        <v>B+</v>
      </c>
      <c r="T38" s="5" cm="1">
        <f t="array" ref="T38">_xlfn.IFS(Q38&gt;=70,25,Q38&gt;=60,24,Q38&gt;=50,23,Q38&gt;=40,22,Q38&gt;=30,21,TRUE,20)</f>
        <v>23</v>
      </c>
      <c r="U38" s="5" cm="1">
        <f t="array" ref="U38">_xlfn.IFS(T38/25*100&gt;=90,4,T38/25*100&gt;=80,3.6,T38/25*100&gt;=70,3.2,T38/25*100&gt;=60,2.8,T38/25*100&gt;=50,2.4,T38/25*100&gt;=40,2,T38/25*100&gt;=35,1.6,TRUE, 0)</f>
        <v>4</v>
      </c>
      <c r="V38" s="5" t="str" cm="1">
        <f t="array" ref="V38">_xlfn.IFS(U38=4,"A+",U38=3.6,"A",U38=3.2,"B+",U38=2.8,"B",U38=2.4,"C+",U38=2,"C",U38=1.6,"D",TRUE,"NG")</f>
        <v>A+</v>
      </c>
      <c r="W38" s="5">
        <f t="shared" si="8"/>
        <v>3.4</v>
      </c>
      <c r="X38" s="5" t="str" cm="1">
        <f t="array" ref="X38">_xlfn.IFS(AND(W38&lt;=4,W38&gt;3.6),"A+",AND(W38&lt;=3.6,W38&gt;3.2),"A",AND(W38&lt;=3.2,W38&gt;2.8),"B+",AND(W38&lt;=2.8,W38&gt;2.4),"B",AND(W38&lt;=2.4,W38&gt;2),"C+",AND(W38&lt;=2,W38&gt;1.6),"C",W38=1.6,"D",TRUE,"NG")</f>
        <v>A</v>
      </c>
      <c r="Y38" s="4">
        <v>54</v>
      </c>
      <c r="Z38" s="5" cm="1">
        <f t="array" ref="Z38">_xlfn.IFS(Y38/75*100&gt;=90,4,Y38/75*100&gt;=80,3.6,Y38/75*100&gt;=70,3.2,Y38/75*100&gt;=60,2.8,Y38/75*100&gt;=50,2.4,Y38/75*100&gt;=40,2,Y38/75*100&gt;=35,1.6,TRUE, 0)</f>
        <v>3.2</v>
      </c>
      <c r="AA38" s="5" t="str" cm="1">
        <f t="array" ref="AA38">_xlfn.IFS(Z38=4,"A+",Z38=3.6,"A",Z38=3.2,"B+",Z38=2.8,"B",Z38=2.4,"C+",Z38=2,"C",Z38=1.6,"D",TRUE,"NG")</f>
        <v>B+</v>
      </c>
      <c r="AB38" s="4">
        <v>24</v>
      </c>
      <c r="AC38" s="5" cm="1">
        <f t="array" ref="AC38">_xlfn.IFS(AB38/25*100&gt;=90,4,AB38/25*100&gt;=80,3.6,AB38/25*100&gt;=70,3.2,AB38/25*100&gt;=60,2.8,AB38/25*100&gt;=50,2.4,AB38/25*100&gt;=40,2,AB38/25*100&gt;=35,1.6,TRUE, 0)</f>
        <v>4</v>
      </c>
      <c r="AD38" s="5" t="str" cm="1">
        <f t="array" ref="AD38">_xlfn.IFS(AC38=4,"A+",AC38=3.6,"A",AC38=3.2,"B+",AC38=2.8,"B",AC38=2.4,"C+",AC38=2,"C",AC38=1.6,"D",TRUE,"NG")</f>
        <v>A+</v>
      </c>
      <c r="AE38" s="5">
        <f t="shared" si="9"/>
        <v>3.4</v>
      </c>
      <c r="AF38" s="5" t="str" cm="1">
        <f t="array" ref="AF38">_xlfn.IFS(AND(AE38&lt;=4,AE38&gt;3.6),"A+",AND(AE38&lt;=3.6,AE38&gt;3.2),"A",AND(AE38&lt;=3.2,AE38&gt;2.8),"B+",AND(AE38&lt;=2.8,AE38&gt;2.4),"B",AND(AE38&lt;=2.4,AE38&gt;2),"C+",AND(AE38&lt;=2,AE38&gt;1.6),"C",AE38=1.6,"D",TRUE,"NG")</f>
        <v>A</v>
      </c>
      <c r="AG38" s="4">
        <v>64</v>
      </c>
      <c r="AH38" s="5" cm="1">
        <f t="array" ref="AH38">_xlfn.IFS(AG38/75*100&gt;=90,4,AG38/75*100&gt;=80,3.6,AG38/75*100&gt;=70,3.2,AG38/75*100&gt;=60,2.8,AG38/75*100&gt;=50,2.4,AG38/75*100&gt;=40,2,AG38/75*100&gt;=35,1.6,TRUE, 0)</f>
        <v>3.6</v>
      </c>
      <c r="AI38" s="5" t="str" cm="1">
        <f t="array" ref="AI38">_xlfn.IFS(AH38=4,"A+",AH38=3.6,"A",AH38=3.2,"B+",AH38=2.8,"B",AH38=2.4,"C+",AH38=2,"C",AH38=1.6,"D",TRUE,"NG")</f>
        <v>A</v>
      </c>
      <c r="AJ38" s="4">
        <v>24</v>
      </c>
      <c r="AK38" s="5" cm="1">
        <f t="array" ref="AK38">_xlfn.IFS(AJ38/25*100&gt;=90,4,AJ38/25*100&gt;=80,3.6,AJ38/25*100&gt;=70,3.2,AJ38/25*100&gt;=60,2.8,AJ38/25*100&gt;=50,2.4,AJ38/25*100&gt;=40,2,AJ38/25*100&gt;=35,1.6,TRUE, 0)</f>
        <v>4</v>
      </c>
      <c r="AL38" s="5" t="str" cm="1">
        <f t="array" ref="AL38">_xlfn.IFS(AK38=4,"A+",AK38=3.6,"A",AK38=3.2,"B+",AK38=2.8,"B",AK38=2.4,"C+",AK38=2,"C",AK38=1.6,"D",TRUE,"NG")</f>
        <v>A+</v>
      </c>
      <c r="AM38" s="5">
        <f t="shared" si="10"/>
        <v>3.7</v>
      </c>
      <c r="AN38" s="5" t="str" cm="1">
        <f t="array" ref="AN38">_xlfn.IFS(AND(AM38&lt;=4,AM38&gt;3.6),"A+",AND(AM38&lt;=3.6,AM38&gt;3.2),"A",AND(AM38&lt;=3.2,AM38&gt;2.8),"B+",AND(AM38&lt;=2.8,AM38&gt;2.4),"B",AND(AM38&lt;=2.4,AM38&gt;2),"C+",AND(AM38&lt;=2,AM38&gt;1.6),"C",AM38=1.6,"D",TRUE,"NG")</f>
        <v>A+</v>
      </c>
      <c r="AO38" s="4">
        <v>68</v>
      </c>
      <c r="AP38" s="5" cm="1">
        <f t="array" ref="AP38">_xlfn.IFS(AO38/75*100&gt;=90,4,AO38/75*100&gt;=80,3.6,AO38/75*100&gt;=70,3.2,AO38/75*100&gt;=60,2.8,AO38/75*100&gt;=50,2.4,AO38/75*100&gt;=40,2,AO38/75*100&gt;=35,1.6,TRUE, 0)</f>
        <v>4</v>
      </c>
      <c r="AQ38" s="5" t="str" cm="1">
        <f t="array" ref="AQ38">_xlfn.IFS(AP38=4,"A+",AP38=3.6,"A",AP38=3.2,"B+",AP38=2.8,"B",AP38=2.4,"C+",AP38=2,"C",AP38=1.6,"D",TRUE,"NG")</f>
        <v>A+</v>
      </c>
      <c r="AR38" s="5" cm="1">
        <f t="array" ref="AR38">_xlfn.IFS(AO38&gt;=70,25,AO38&gt;=60,24,AO38&gt;=50,23,AO38&gt;=40,22,AO38&gt;=30,21,TRUE,20)</f>
        <v>24</v>
      </c>
      <c r="AS38" s="5" cm="1">
        <f t="array" ref="AS38">_xlfn.IFS(AR38/25*100&gt;=90,4,AR38/25*100&gt;=80,3.6,AR38/25*100&gt;=70,3.2,AR38/25*100&gt;=60,2.8,AR38/25*100&gt;=50,2.4,AR38/25*100&gt;=40,2,AR38/25*100&gt;=35,1.6,TRUE, 0)</f>
        <v>4</v>
      </c>
      <c r="AT38" s="5" t="str" cm="1">
        <f t="array" ref="AT38">_xlfn.IFS(AS38=4,"A+",AS38=3.6,"A",AS38=3.2,"B+",AS38=2.8,"B",AS38=2.4,"C+",AS38=2,"C",AS38=1.6,"D",TRUE,"NG")</f>
        <v>A+</v>
      </c>
      <c r="AU38" s="5">
        <f t="shared" si="11"/>
        <v>4</v>
      </c>
      <c r="AV38" s="5" t="str" cm="1">
        <f t="array" ref="AV38">_xlfn.IFS(AND(AU38&lt;=4,AU38&gt;3.6),"A+",AND(AU38&lt;=3.6,AU38&gt;3.2),"A",AND(AU38&lt;=3.2,AU38&gt;2.8),"B+",AND(AU38&lt;=2.8,AU38&gt;2.4),"B",AND(AU38&lt;=2.4,AU38&gt;2),"C+",AND(AU38&lt;=2,AU38&gt;1.6),"C",AU38=1.6,"D",TRUE,"NG")</f>
        <v>A+</v>
      </c>
      <c r="AW38" s="4">
        <v>52</v>
      </c>
      <c r="AX38" s="5" cm="1">
        <f t="array" ref="AX38">_xlfn.IFS(AW38="-","-",AW38/75*100&gt;=90,4,AW38/75*100&gt;=80,3.6,AW38/75*100&gt;=70,3.2,AW38/75*100&gt;=60,2.8,AW38/75*100&gt;=50,2.4,AW38/75*100&gt;=40,2,AW38/75*100&gt;=35,1.6,TRUE, 0)</f>
        <v>2.8</v>
      </c>
      <c r="AY38" s="5" t="str" cm="1">
        <f t="array" ref="AY38">_xlfn.IFS(AX38="-","-",AX38=4,"A+",AX38=3.6,"A",AX38=3.2,"B+",AX38=2.8,"B",AX38=2.4,"C+",AX38=2,"C",AX38=1.6,"D",TRUE,"NG")</f>
        <v>B</v>
      </c>
      <c r="AZ38" s="4">
        <v>22</v>
      </c>
      <c r="BA38" s="5" cm="1">
        <f t="array" ref="BA38">_xlfn.IFS(AZ38="-","-",AZ38/25*100&gt;=90,4,AZ38/25*100&gt;=80,3.6,AZ38/25*100&gt;=70,3.2,AZ38/25*100&gt;=60,2.8,AZ38/25*100&gt;=50,2.4,AZ38/25*100&gt;=40,2,AZ38/25*100&gt;=35,1.6,TRUE, 0)</f>
        <v>3.6</v>
      </c>
      <c r="BB38" s="5" t="str" cm="1">
        <f t="array" ref="BB38">_xlfn.IFS(BA38="-","-",BA38=4,"A+",BA38=3.6,"A",BA38=3.2,"B+",BA38=2.8,"B",BA38=2.4,"C+",BA38=2,"C",BA38=1.6,"D",TRUE,"NG")</f>
        <v>A</v>
      </c>
      <c r="BC38" s="5">
        <f t="shared" si="12"/>
        <v>3</v>
      </c>
      <c r="BD38" s="5" t="str" cm="1">
        <f t="array" ref="BD38">_xlfn.IFS(BC38="-","-",AND(BC38&lt;=4,BC38&gt;3.6),"A+",AND(BC38&lt;=3.6,BC38&gt;3.2),"A",AND(BC38&lt;=3.2,BC38&gt;2.8),"B+",AND(BC38&lt;=2.8,BC38&gt;2.4),"B",AND(BC38&lt;=2.4,BC38&gt;2),"C+",AND(BC38&lt;=2,BC38&gt;1.6),"C",BC38=1.6,"D",TRUE,"NG")</f>
        <v>B+</v>
      </c>
      <c r="BE38" s="4" t="s">
        <v>63</v>
      </c>
      <c r="BF38" t="str" cm="1">
        <f t="array" ref="BF38">_xlfn.IFS(BE38="-","-",BE38/50*100&gt;=90,4,BE38/50*100&gt;=80,3.6,BE38/50*100&gt;=70,3.2,BE38/50*100&gt;=60,2.8,BE38/50*100&gt;=50,2.4,BE38/50*100&gt;=40,2,BE38/50*100&gt;=35,1.6,TRUE, 0)</f>
        <v>-</v>
      </c>
      <c r="BG38" t="str" cm="1">
        <f t="array" ref="BG38">_xlfn.IFS(BF38="-","-",BF38=4,"A+",BF38=3.6,"A",BF38=3.2,"B+",BF38=2.8,"B",BF38=2.4,"C+",BF38=2,"C",BF38=1.6,"D",TRUE,"NG")</f>
        <v>-</v>
      </c>
      <c r="BH38" s="4" t="s">
        <v>63</v>
      </c>
      <c r="BI38" t="str" cm="1">
        <f t="array" ref="BI38">_xlfn.IFS(BH38="-","-",BH38/50*100&gt;=90,4,BH38/50*100&gt;=80,3.6,BH38/50*100&gt;=70,3.2,BH38/50*100&gt;=60,2.8,BH38/50*100&gt;=50,2.4,BH38/50*100&gt;=40,2,BH38/50*100&gt;=35,1.6,TRUE, 0)</f>
        <v>-</v>
      </c>
      <c r="BJ38" t="str" cm="1">
        <f t="array" ref="BJ38">_xlfn.IFS(BI38="-","-",BI38=4,"A+",BI38=3.6,"A",BI38=3.2,"B+",BI38=2.8,"B",BI38=2.4,"C+",BI38=2,"C",BI38=1.6,"D",TRUE,"NG")</f>
        <v>-</v>
      </c>
      <c r="BK38" t="str">
        <f t="shared" si="13"/>
        <v>-</v>
      </c>
      <c r="BL38" t="str" cm="1">
        <f t="array" ref="BL38">_xlfn.IFS(BK38="-","-",AND(BK38&lt;=4,BK38&gt;3.6),"A+",AND(BK38&lt;=3.6,BK38&gt;3.2),"A",AND(BK38&lt;=3.2,BK38&gt;2.8),"B+",AND(BK38&lt;=2.8,BK38&gt;2.4),"B",AND(BK38&lt;=2.4,BK38&gt;2),"C+",AND(BK38&lt;=2,BK38&gt;1.6),"C",BK38=1.6,"D",TRUE,"NG")</f>
        <v>-</v>
      </c>
      <c r="BM38" s="9" cm="1">
        <f t="array" ref="BM38">_xlfn.IFS(AW38&lt;&gt;"-",((J38*3+M38*1)+(R38*2.25+U38*0.75)+(Z38*3.75+AC38*1.25)+(AH38*3.75+AK38*1.25)+(AP38*3.75+AS38*1.25)+(AX38*3.75+BA38*1.25))/(4+3+5*4),BE38&lt;&gt;"-",((J38*3+M38*1)+(R38*2.25+U38*0.75)+(Z38*3.75+AC38*1.25)+(AH38*3.75+AK38*1.25)+(AP38*3.75+AS38*1.25)+(BF38*2.5+BI38*2.5))/(4+3+5*4))</f>
        <v>3.5370370370370372</v>
      </c>
    </row>
    <row r="39" spans="1:65" x14ac:dyDescent="0.3">
      <c r="A39" s="2">
        <v>138</v>
      </c>
      <c r="B39" s="12">
        <v>793270280057</v>
      </c>
      <c r="C39" s="13">
        <v>12706908</v>
      </c>
      <c r="D39" s="14" t="s">
        <v>104</v>
      </c>
      <c r="E39" t="s">
        <v>64</v>
      </c>
      <c r="F39" s="15">
        <v>59596</v>
      </c>
      <c r="G39" s="3" t="str">
        <f t="shared" si="0"/>
        <v>2063/03/01</v>
      </c>
      <c r="H39" s="3" t="str" cm="1">
        <f t="array" ref="H39">[1]!bs2ad(G39)</f>
        <v>2006-6-15</v>
      </c>
      <c r="I39" s="4">
        <v>40</v>
      </c>
      <c r="J39" s="5" cm="1">
        <f t="array" ref="J39">_xlfn.IFS(I39/75*100&gt;=90,4,I39/75*100&gt;=80,3.6,I39/75*100&gt;=70,3.2,I39/75*100&gt;=60,2.8,I39/75*100&gt;=50,2.4,I39/75*100&gt;=40,2,I39/75*100&gt;=35,1.6,TRUE, 0)</f>
        <v>2.4</v>
      </c>
      <c r="K39" s="5" t="str" cm="1">
        <f t="array" ref="K39">_xlfn.IFS(J39=4,"A+",J39=3.6,"A",J39=3.2,"B+",J39=2.8,"B",J39=2.4,"C+",J39=2,"C",J39=1.6,"D",TRUE,"NG")</f>
        <v>C+</v>
      </c>
      <c r="L39" s="4">
        <v>23</v>
      </c>
      <c r="M39" s="5" cm="1">
        <f t="array" ref="M39">_xlfn.IFS(L39/25*100&gt;=90,4,L39/25*100&gt;=80,3.6,L39/25*100&gt;=70,3.2,L39/25*100&gt;=60,2.8,L39/25*100&gt;=50,2.4,L39/25*100&gt;=40,2,L39/25*100&gt;=35,1.6,TRUE, 0)</f>
        <v>4</v>
      </c>
      <c r="N39" s="5" t="str" cm="1">
        <f t="array" ref="N39">_xlfn.IFS(M39=4,"A+",M39=3.6,"A",M39=3.2,"B+",M39=2.8,"B",M39=2.4,"C+",M39=2,"C",M39=1.6,"D",TRUE,"NG")</f>
        <v>A+</v>
      </c>
      <c r="O39" s="5">
        <f t="shared" si="1"/>
        <v>2.8</v>
      </c>
      <c r="P39" s="5" t="str" cm="1">
        <f t="array" ref="P39">_xlfn.IFS(AND(O39&lt;=4,O39&gt;3.6),"A+",AND(O39&lt;=3.6,O39&gt;3.2),"A",AND(O39&lt;=3.2,O39&gt;2.8),"B+",AND(O39&lt;=2.8,O39&gt;2.4),"B",AND(O39&lt;=2.4,O39&gt;2),"C+",AND(O39&lt;=2,O39&gt;1.6),"C",O39=1.6,"D",TRUE,"NG")</f>
        <v>B</v>
      </c>
      <c r="Q39" s="4">
        <v>45</v>
      </c>
      <c r="R39" s="5" cm="1">
        <f t="array" ref="R39">_xlfn.IFS(Q39/75*100&gt;=90,4,Q39/75*100&gt;=80,3.6,Q39/75*100&gt;=70,3.2,Q39/75*100&gt;=60,2.8,Q39/75*100&gt;=50,2.4,Q39/75*100&gt;=40,2,Q39/75*100&gt;=35,1.6,TRUE, 0)</f>
        <v>2.8</v>
      </c>
      <c r="S39" s="5" t="str" cm="1">
        <f t="array" ref="S39">_xlfn.IFS(R39=4,"A+",R39=3.6,"A",R39=3.2,"B+",R39=2.8,"B",R39=2.4,"C+",R39=2,"C",R39=1.6,"D",TRUE,"NG")</f>
        <v>B</v>
      </c>
      <c r="T39" s="5" cm="1">
        <f t="array" ref="T39">_xlfn.IFS(Q39&gt;=70,25,Q39&gt;=60,24,Q39&gt;=50,23,Q39&gt;=40,22,Q39&gt;=30,21,TRUE,20)</f>
        <v>22</v>
      </c>
      <c r="U39" s="5" cm="1">
        <f t="array" ref="U39">_xlfn.IFS(T39/25*100&gt;=90,4,T39/25*100&gt;=80,3.6,T39/25*100&gt;=70,3.2,T39/25*100&gt;=60,2.8,T39/25*100&gt;=50,2.4,T39/25*100&gt;=40,2,T39/25*100&gt;=35,1.6,TRUE, 0)</f>
        <v>3.6</v>
      </c>
      <c r="V39" s="5" t="str" cm="1">
        <f t="array" ref="V39">_xlfn.IFS(U39=4,"A+",U39=3.6,"A",U39=3.2,"B+",U39=2.8,"B",U39=2.4,"C+",U39=2,"C",U39=1.6,"D",TRUE,"NG")</f>
        <v>A</v>
      </c>
      <c r="W39" s="5">
        <f t="shared" si="8"/>
        <v>3</v>
      </c>
      <c r="X39" s="5" t="str" cm="1">
        <f t="array" ref="X39">_xlfn.IFS(AND(W39&lt;=4,W39&gt;3.6),"A+",AND(W39&lt;=3.6,W39&gt;3.2),"A",AND(W39&lt;=3.2,W39&gt;2.8),"B+",AND(W39&lt;=2.8,W39&gt;2.4),"B",AND(W39&lt;=2.4,W39&gt;2),"C+",AND(W39&lt;=2,W39&gt;1.6),"C",W39=1.6,"D",TRUE,"NG")</f>
        <v>B+</v>
      </c>
      <c r="Y39" s="4">
        <v>35</v>
      </c>
      <c r="Z39" s="5" cm="1">
        <f t="array" ref="Z39">_xlfn.IFS(Y39/75*100&gt;=90,4,Y39/75*100&gt;=80,3.6,Y39/75*100&gt;=70,3.2,Y39/75*100&gt;=60,2.8,Y39/75*100&gt;=50,2.4,Y39/75*100&gt;=40,2,Y39/75*100&gt;=35,1.6,TRUE, 0)</f>
        <v>2</v>
      </c>
      <c r="AA39" s="5" t="str" cm="1">
        <f t="array" ref="AA39">_xlfn.IFS(Z39=4,"A+",Z39=3.6,"A",Z39=3.2,"B+",Z39=2.8,"B",Z39=2.4,"C+",Z39=2,"C",Z39=1.6,"D",TRUE,"NG")</f>
        <v>C</v>
      </c>
      <c r="AB39" s="4">
        <v>22</v>
      </c>
      <c r="AC39" s="5" cm="1">
        <f t="array" ref="AC39">_xlfn.IFS(AB39/25*100&gt;=90,4,AB39/25*100&gt;=80,3.6,AB39/25*100&gt;=70,3.2,AB39/25*100&gt;=60,2.8,AB39/25*100&gt;=50,2.4,AB39/25*100&gt;=40,2,AB39/25*100&gt;=35,1.6,TRUE, 0)</f>
        <v>3.6</v>
      </c>
      <c r="AD39" s="5" t="str" cm="1">
        <f t="array" ref="AD39">_xlfn.IFS(AC39=4,"A+",AC39=3.6,"A",AC39=3.2,"B+",AC39=2.8,"B",AC39=2.4,"C+",AC39=2,"C",AC39=1.6,"D",TRUE,"NG")</f>
        <v>A</v>
      </c>
      <c r="AE39" s="5">
        <f t="shared" si="9"/>
        <v>2.4</v>
      </c>
      <c r="AF39" s="5" t="str" cm="1">
        <f t="array" ref="AF39">_xlfn.IFS(AND(AE39&lt;=4,AE39&gt;3.6),"A+",AND(AE39&lt;=3.6,AE39&gt;3.2),"A",AND(AE39&lt;=3.2,AE39&gt;2.8),"B+",AND(AE39&lt;=2.8,AE39&gt;2.4),"B",AND(AE39&lt;=2.4,AE39&gt;2),"C+",AND(AE39&lt;=2,AE39&gt;1.6),"C",AE39=1.6,"D",TRUE,"NG")</f>
        <v>C+</v>
      </c>
      <c r="AG39" s="4">
        <v>36</v>
      </c>
      <c r="AH39" s="5" cm="1">
        <f t="array" ref="AH39">_xlfn.IFS(AG39/75*100&gt;=90,4,AG39/75*100&gt;=80,3.6,AG39/75*100&gt;=70,3.2,AG39/75*100&gt;=60,2.8,AG39/75*100&gt;=50,2.4,AG39/75*100&gt;=40,2,AG39/75*100&gt;=35,1.6,TRUE, 0)</f>
        <v>2</v>
      </c>
      <c r="AI39" s="5" t="str" cm="1">
        <f t="array" ref="AI39">_xlfn.IFS(AH39=4,"A+",AH39=3.6,"A",AH39=3.2,"B+",AH39=2.8,"B",AH39=2.4,"C+",AH39=2,"C",AH39=1.6,"D",TRUE,"NG")</f>
        <v>C</v>
      </c>
      <c r="AJ39" s="4">
        <v>23</v>
      </c>
      <c r="AK39" s="5" cm="1">
        <f t="array" ref="AK39">_xlfn.IFS(AJ39/25*100&gt;=90,4,AJ39/25*100&gt;=80,3.6,AJ39/25*100&gt;=70,3.2,AJ39/25*100&gt;=60,2.8,AJ39/25*100&gt;=50,2.4,AJ39/25*100&gt;=40,2,AJ39/25*100&gt;=35,1.6,TRUE, 0)</f>
        <v>4</v>
      </c>
      <c r="AL39" s="5" t="str" cm="1">
        <f t="array" ref="AL39">_xlfn.IFS(AK39=4,"A+",AK39=3.6,"A",AK39=3.2,"B+",AK39=2.8,"B",AK39=2.4,"C+",AK39=2,"C",AK39=1.6,"D",TRUE,"NG")</f>
        <v>A+</v>
      </c>
      <c r="AM39" s="5">
        <f t="shared" si="10"/>
        <v>2.5</v>
      </c>
      <c r="AN39" s="5" t="str" cm="1">
        <f t="array" ref="AN39">_xlfn.IFS(AND(AM39&lt;=4,AM39&gt;3.6),"A+",AND(AM39&lt;=3.6,AM39&gt;3.2),"A",AND(AM39&lt;=3.2,AM39&gt;2.8),"B+",AND(AM39&lt;=2.8,AM39&gt;2.4),"B",AND(AM39&lt;=2.4,AM39&gt;2),"C+",AND(AM39&lt;=2,AM39&gt;1.6),"C",AM39=1.6,"D",TRUE,"NG")</f>
        <v>B</v>
      </c>
      <c r="AO39" s="4">
        <v>52</v>
      </c>
      <c r="AP39" s="5" cm="1">
        <f t="array" ref="AP39">_xlfn.IFS(AO39/75*100&gt;=90,4,AO39/75*100&gt;=80,3.6,AO39/75*100&gt;=70,3.2,AO39/75*100&gt;=60,2.8,AO39/75*100&gt;=50,2.4,AO39/75*100&gt;=40,2,AO39/75*100&gt;=35,1.6,TRUE, 0)</f>
        <v>2.8</v>
      </c>
      <c r="AQ39" s="5" t="str" cm="1">
        <f t="array" ref="AQ39">_xlfn.IFS(AP39=4,"A+",AP39=3.6,"A",AP39=3.2,"B+",AP39=2.8,"B",AP39=2.4,"C+",AP39=2,"C",AP39=1.6,"D",TRUE,"NG")</f>
        <v>B</v>
      </c>
      <c r="AR39" s="5" cm="1">
        <f t="array" ref="AR39">_xlfn.IFS(AO39&gt;=70,25,AO39&gt;=60,24,AO39&gt;=50,23,AO39&gt;=40,22,AO39&gt;=30,21,TRUE,20)</f>
        <v>23</v>
      </c>
      <c r="AS39" s="5" cm="1">
        <f t="array" ref="AS39">_xlfn.IFS(AR39/25*100&gt;=90,4,AR39/25*100&gt;=80,3.6,AR39/25*100&gt;=70,3.2,AR39/25*100&gt;=60,2.8,AR39/25*100&gt;=50,2.4,AR39/25*100&gt;=40,2,AR39/25*100&gt;=35,1.6,TRUE, 0)</f>
        <v>4</v>
      </c>
      <c r="AT39" s="5" t="str" cm="1">
        <f t="array" ref="AT39">_xlfn.IFS(AS39=4,"A+",AS39=3.6,"A",AS39=3.2,"B+",AS39=2.8,"B",AS39=2.4,"C+",AS39=2,"C",AS39=1.6,"D",TRUE,"NG")</f>
        <v>A+</v>
      </c>
      <c r="AU39" s="5">
        <f t="shared" si="11"/>
        <v>3.1</v>
      </c>
      <c r="AV39" s="5" t="str" cm="1">
        <f t="array" ref="AV39">_xlfn.IFS(AND(AU39&lt;=4,AU39&gt;3.6),"A+",AND(AU39&lt;=3.6,AU39&gt;3.2),"A",AND(AU39&lt;=3.2,AU39&gt;2.8),"B+",AND(AU39&lt;=2.8,AU39&gt;2.4),"B",AND(AU39&lt;=2.4,AU39&gt;2),"C+",AND(AU39&lt;=2,AU39&gt;1.6),"C",AU39=1.6,"D",TRUE,"NG")</f>
        <v>B+</v>
      </c>
      <c r="AW39" s="4">
        <v>36</v>
      </c>
      <c r="AX39" s="5" cm="1">
        <f t="array" ref="AX39">_xlfn.IFS(AW39="-","-",AW39/75*100&gt;=90,4,AW39/75*100&gt;=80,3.6,AW39/75*100&gt;=70,3.2,AW39/75*100&gt;=60,2.8,AW39/75*100&gt;=50,2.4,AW39/75*100&gt;=40,2,AW39/75*100&gt;=35,1.6,TRUE, 0)</f>
        <v>2</v>
      </c>
      <c r="AY39" s="5" t="str" cm="1">
        <f t="array" ref="AY39">_xlfn.IFS(AX39="-","-",AX39=4,"A+",AX39=3.6,"A",AX39=3.2,"B+",AX39=2.8,"B",AX39=2.4,"C+",AX39=2,"C",AX39=1.6,"D",TRUE,"NG")</f>
        <v>C</v>
      </c>
      <c r="AZ39" s="4">
        <v>20</v>
      </c>
      <c r="BA39" s="5" cm="1">
        <f t="array" ref="BA39">_xlfn.IFS(AZ39="-","-",AZ39/25*100&gt;=90,4,AZ39/25*100&gt;=80,3.6,AZ39/25*100&gt;=70,3.2,AZ39/25*100&gt;=60,2.8,AZ39/25*100&gt;=50,2.4,AZ39/25*100&gt;=40,2,AZ39/25*100&gt;=35,1.6,TRUE, 0)</f>
        <v>3.6</v>
      </c>
      <c r="BB39" s="5" t="str" cm="1">
        <f t="array" ref="BB39">_xlfn.IFS(BA39="-","-",BA39=4,"A+",BA39=3.6,"A",BA39=3.2,"B+",BA39=2.8,"B",BA39=2.4,"C+",BA39=2,"C",BA39=1.6,"D",TRUE,"NG")</f>
        <v>A</v>
      </c>
      <c r="BC39" s="5">
        <f t="shared" si="12"/>
        <v>2.4</v>
      </c>
      <c r="BD39" s="5" t="str" cm="1">
        <f t="array" ref="BD39">_xlfn.IFS(BC39="-","-",AND(BC39&lt;=4,BC39&gt;3.6),"A+",AND(BC39&lt;=3.6,BC39&gt;3.2),"A",AND(BC39&lt;=3.2,BC39&gt;2.8),"B+",AND(BC39&lt;=2.8,BC39&gt;2.4),"B",AND(BC39&lt;=2.4,BC39&gt;2),"C+",AND(BC39&lt;=2,BC39&gt;1.6),"C",BC39=1.6,"D",TRUE,"NG")</f>
        <v>C+</v>
      </c>
      <c r="BE39" s="4" t="s">
        <v>63</v>
      </c>
      <c r="BF39" t="str" cm="1">
        <f t="array" ref="BF39">_xlfn.IFS(BE39="-","-",BE39/50*100&gt;=90,4,BE39/50*100&gt;=80,3.6,BE39/50*100&gt;=70,3.2,BE39/50*100&gt;=60,2.8,BE39/50*100&gt;=50,2.4,BE39/50*100&gt;=40,2,BE39/50*100&gt;=35,1.6,TRUE, 0)</f>
        <v>-</v>
      </c>
      <c r="BG39" t="str" cm="1">
        <f t="array" ref="BG39">_xlfn.IFS(BF39="-","-",BF39=4,"A+",BF39=3.6,"A",BF39=3.2,"B+",BF39=2.8,"B",BF39=2.4,"C+",BF39=2,"C",BF39=1.6,"D",TRUE,"NG")</f>
        <v>-</v>
      </c>
      <c r="BH39" s="4" t="s">
        <v>63</v>
      </c>
      <c r="BI39" t="str" cm="1">
        <f t="array" ref="BI39">_xlfn.IFS(BH39="-","-",BH39/50*100&gt;=90,4,BH39/50*100&gt;=80,3.6,BH39/50*100&gt;=70,3.2,BH39/50*100&gt;=60,2.8,BH39/50*100&gt;=50,2.4,BH39/50*100&gt;=40,2,BH39/50*100&gt;=35,1.6,TRUE, 0)</f>
        <v>-</v>
      </c>
      <c r="BJ39" t="str" cm="1">
        <f t="array" ref="BJ39">_xlfn.IFS(BI39="-","-",BI39=4,"A+",BI39=3.6,"A",BI39=3.2,"B+",BI39=2.8,"B",BI39=2.4,"C+",BI39=2,"C",BI39=1.6,"D",TRUE,"NG")</f>
        <v>-</v>
      </c>
      <c r="BK39" t="str">
        <f t="shared" si="13"/>
        <v>-</v>
      </c>
      <c r="BL39" t="str" cm="1">
        <f t="array" ref="BL39">_xlfn.IFS(BK39="-","-",AND(BK39&lt;=4,BK39&gt;3.6),"A+",AND(BK39&lt;=3.6,BK39&gt;3.2),"A",AND(BK39&lt;=3.2,BK39&gt;2.8),"B+",AND(BK39&lt;=2.8,BK39&gt;2.4),"B",AND(BK39&lt;=2.4,BK39&gt;2),"C+",AND(BK39&lt;=2,BK39&gt;1.6),"C",BK39=1.6,"D",TRUE,"NG")</f>
        <v>-</v>
      </c>
      <c r="BM39" s="9" cm="1">
        <f t="array" ref="BM39">_xlfn.IFS(AW39&lt;&gt;"-",((J39*3+M39*1)+(R39*2.25+U39*0.75)+(Z39*3.75+AC39*1.25)+(AH39*3.75+AK39*1.25)+(AP39*3.75+AS39*1.25)+(AX39*3.75+BA39*1.25))/(4+3+5*4),BE39&lt;&gt;"-",((J39*3+M39*1)+(R39*2.25+U39*0.75)+(Z39*3.75+AC39*1.25)+(AH39*3.75+AK39*1.25)+(AP39*3.75+AS39*1.25)+(BF39*2.5+BI39*2.5))/(4+3+5*4))</f>
        <v>2.674074074074074</v>
      </c>
    </row>
  </sheetData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BB06E6E54FDD4DB8AEA057621B6BF0" ma:contentTypeVersion="7" ma:contentTypeDescription="Create a new document." ma:contentTypeScope="" ma:versionID="bb61c2b1eae72ef88b65fcf9f4ea854c">
  <xsd:schema xmlns:xsd="http://www.w3.org/2001/XMLSchema" xmlns:xs="http://www.w3.org/2001/XMLSchema" xmlns:p="http://schemas.microsoft.com/office/2006/metadata/properties" xmlns:ns3="68bf5f69-f657-401f-8d8f-af35f3cca59e" xmlns:ns4="4c13886e-1b81-469f-938b-ebcaf2af3c7c" targetNamespace="http://schemas.microsoft.com/office/2006/metadata/properties" ma:root="true" ma:fieldsID="500f6554394a9865e8454a45f4e71e73" ns3:_="" ns4:_="">
    <xsd:import namespace="68bf5f69-f657-401f-8d8f-af35f3cca59e"/>
    <xsd:import namespace="4c13886e-1b81-469f-938b-ebcaf2af3c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f5f69-f657-401f-8d8f-af35f3cca5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886e-1b81-469f-938b-ebcaf2af3c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1858AC-A27C-4F2A-8FEC-90C414EEA8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B8F204-44FB-45BB-A8A2-08FB11757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bf5f69-f657-401f-8d8f-af35f3cca59e"/>
    <ds:schemaRef ds:uri="4c13886e-1b81-469f-938b-ebcaf2af3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23C1AB-4EC4-4CE9-AFA2-D87390B615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Board Science078 Grade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Amir</cp:lastModifiedBy>
  <cp:revision/>
  <dcterms:created xsi:type="dcterms:W3CDTF">2021-12-23T13:31:46Z</dcterms:created>
  <dcterms:modified xsi:type="dcterms:W3CDTF">2022-11-26T07:53:56Z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0x010100E7BB06E6E54FDD4DB8AEA057621B6BF0</vt:lpwstr>
  </property>
</Properties>
</file>